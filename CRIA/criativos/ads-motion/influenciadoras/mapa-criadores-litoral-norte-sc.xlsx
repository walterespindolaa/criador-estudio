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ler" sheetId="1" state="visible" r:id="rId3"/>
    <sheet name="Resumo" sheetId="2" state="visible" r:id="rId4"/>
    <sheet name="Base completa" sheetId="3" state="visible" r:id="rId5"/>
    <sheet name="Itajaí" sheetId="4" state="visible" r:id="rId6"/>
    <sheet name="Balneário Camboriú" sheetId="5" state="visible" r:id="rId7"/>
    <sheet name="Camboriú" sheetId="6" state="visible" r:id="rId8"/>
    <sheet name="Itapema" sheetId="7" state="visible" r:id="rId9"/>
  </sheets>
  <definedNames>
    <definedName function="false" hidden="true" localSheetId="4" name="_xlnm._FilterDatabase" vbProcedure="false">'Balneário Camboriú'!$A$1:$AI$105</definedName>
    <definedName function="false" hidden="true" localSheetId="2" name="_xlnm._FilterDatabase" vbProcedure="false">'Base completa'!$A$1:$AI$183</definedName>
    <definedName function="false" hidden="true" localSheetId="5" name="_xlnm._FilterDatabase" vbProcedure="false">Camboriú!$A$1:$AI$21</definedName>
    <definedName function="false" hidden="true" localSheetId="3" name="_xlnm._FilterDatabase" vbProcedure="false">Itajaí!$A$1:$AI$69</definedName>
    <definedName function="false" hidden="true" localSheetId="6" name="_xlnm._FilterDatabase" vbProcedure="false">Itapema!$A$1:$AI$43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<sst xmlns="http://schemas.openxmlformats.org/spreadsheetml/2006/main" count="6836" uniqueCount="1228">
  <si>
    <t xml:space="preserve">Mapa de criadores · Itajaí, Balneário Camboriú, Camboriú e Itapema</t>
  </si>
  <si>
    <t xml:space="preserve">Coleta: 27/09/2026, Instagram, perfis públicos, via Apify (hashtags de cidade e nicho, busca por nome, menções e marcações nos posts).</t>
  </si>
  <si>
    <t xml:space="preserve">Métricas calculadas sobre os últimos ~12 posts públicos de cada perfil (posts fixados ignorados).</t>
  </si>
  <si>
    <t xml:space="preserve">Colunas</t>
  </si>
  <si>
    <t xml:space="preserve">Engajamento: mediana de (curtidas + comentários) por post ÷ seguidores. Mediana evita que um post viral distorça.</t>
  </si>
  <si>
    <t xml:space="preserve">Engaj. de referência: valor típico para a faixa de seguidores (tabela abaixo). "Engaj. vs referência" 1,00 = na média; 2,00 = o dobro.</t>
  </si>
  <si>
    <t xml:space="preserve">Views/seguidores: mediana de visualizações dos reels ÷ seguidores. Acima de 0,5 significa que os vídeos saem da bolha.</t>
  </si>
  <si>
    <t xml:space="preserve">Posts/semana e Último post: cadência e se a conta está ativa. Dias sem postar contam a partir da data de coleta.</t>
  </si>
  <si>
    <t xml:space="preserve">Publis (de 12): posts marcados como parceria paga ou com #publi/#publicidade. Marcas em publis: @ das marcas marcadas nesses posts.</t>
  </si>
  <si>
    <t xml:space="preserve">Nichos: detectados na bio (peso maior) e nas legendas/hashtags. Um criador pode ter até 4 nichos. Nicho principal = o mais forte.</t>
  </si>
  <si>
    <t xml:space="preserve">Como confirmei a cidade: "bio" = a pessoa escreve a cidade na bio; "N post(s) marcados" = posts com localização na cidade.</t>
  </si>
  <si>
    <t xml:space="preserve">Canal de contato: só indica o canal que a pessoa divulga (e-mail, WhatsApp, direct). Os dados em si não foram copiados.</t>
  </si>
  <si>
    <t xml:space="preserve">Fit CRIA: Alta = UGC, social mídia, negócios ou casa/organização; Média = lifestyle, família, beleza, moda, educação; Baixa = demais.</t>
  </si>
  <si>
    <t xml:space="preserve">Score (0 a 100) = engajamento vs referência (até 40) + atividade recente (até 20) + cadência (até 15) + alcance dos reels (até 15) + tipo de perfil (até 10). Fórmula na célula.</t>
  </si>
  <si>
    <t xml:space="preserve">Status: lista suspensa para acompanhar a abordagem.</t>
  </si>
  <si>
    <t xml:space="preserve">Engajamento de referência por faixa</t>
  </si>
  <si>
    <t xml:space="preserve">Faixa</t>
  </si>
  <si>
    <t xml:space="preserve">Engajamento típico</t>
  </si>
  <si>
    <t xml:space="preserve">Nano (1k–3k)</t>
  </si>
  <si>
    <t xml:space="preserve">Micro (3k–30k)</t>
  </si>
  <si>
    <t xml:space="preserve">Média (30k–100k)</t>
  </si>
  <si>
    <t xml:space="preserve">Macro (100k–500k)</t>
  </si>
  <si>
    <t xml:space="preserve">Mega (500k+)</t>
  </si>
  <si>
    <t xml:space="preserve">Fonte: médias de mercado para Instagram (benchmarks públicos de 2024–2026); use como régua, não como regra.</t>
  </si>
  <si>
    <t xml:space="preserve">Data da coleta</t>
  </si>
  <si>
    <t xml:space="preserve">Resumo por cidade (cidade principal)</t>
  </si>
  <si>
    <t xml:space="preserve">Cidade</t>
  </si>
  <si>
    <t xml:space="preserve">Total</t>
  </si>
  <si>
    <t xml:space="preserve">Mulher</t>
  </si>
  <si>
    <t xml:space="preserve">Homem</t>
  </si>
  <si>
    <t xml:space="preserve">Criador(a)</t>
  </si>
  <si>
    <t xml:space="preserve">Especialista</t>
  </si>
  <si>
    <t xml:space="preserve">Página local</t>
  </si>
  <si>
    <t xml:space="preserve">Fit alta</t>
  </si>
  <si>
    <t xml:space="preserve">Score médio</t>
  </si>
  <si>
    <t xml:space="preserve">Itajaí</t>
  </si>
  <si>
    <t xml:space="preserve">Balneário Camboriú</t>
  </si>
  <si>
    <t xml:space="preserve">Camboriú</t>
  </si>
  <si>
    <t xml:space="preserve">Itapema</t>
  </si>
  <si>
    <t xml:space="preserve">Criadores por nicho e cidade (um perfil conta em cada nicho em que aparece)</t>
  </si>
  <si>
    <t xml:space="preserve">Nicho</t>
  </si>
  <si>
    <t xml:space="preserve">UGC</t>
  </si>
  <si>
    <t xml:space="preserve">Lifestyle</t>
  </si>
  <si>
    <t xml:space="preserve">Beleza</t>
  </si>
  <si>
    <t xml:space="preserve">Moda</t>
  </si>
  <si>
    <t xml:space="preserve">Fitness e wellness</t>
  </si>
  <si>
    <t xml:space="preserve">Gastronomia</t>
  </si>
  <si>
    <t xml:space="preserve">Viagem</t>
  </si>
  <si>
    <t xml:space="preserve">Entretenimento e humor</t>
  </si>
  <si>
    <t xml:space="preserve">Finanças</t>
  </si>
  <si>
    <t xml:space="preserve">Casa e organização</t>
  </si>
  <si>
    <t xml:space="preserve">Tecnologia</t>
  </si>
  <si>
    <t xml:space="preserve">Negócios e empreendedorismo</t>
  </si>
  <si>
    <t xml:space="preserve">Família e maternidade</t>
  </si>
  <si>
    <t xml:space="preserve">Relacionamento</t>
  </si>
  <si>
    <t xml:space="preserve">Educação e conhecimento</t>
  </si>
  <si>
    <t xml:space="preserve">Social mídia e conteúdo</t>
  </si>
  <si>
    <t xml:space="preserve">Dicas locais</t>
  </si>
  <si>
    <t xml:space="preserve">Cidade principal</t>
  </si>
  <si>
    <t xml:space="preserve">Também atua em</t>
  </si>
  <si>
    <t xml:space="preserve">Perfil</t>
  </si>
  <si>
    <t xml:space="preserve">Nome</t>
  </si>
  <si>
    <t xml:space="preserve">Tipo</t>
  </si>
  <si>
    <t xml:space="preserve">Seguidores</t>
  </si>
  <si>
    <t xml:space="preserve">Engajamento</t>
  </si>
  <si>
    <t xml:space="preserve">Engaj. de referência</t>
  </si>
  <si>
    <t xml:space="preserve">Engaj. vs referência</t>
  </si>
  <si>
    <t xml:space="preserve">Média de curtidas</t>
  </si>
  <si>
    <t xml:space="preserve">Média de comentários</t>
  </si>
  <si>
    <t xml:space="preserve">Views medianas (reels)</t>
  </si>
  <si>
    <t xml:space="preserve">Views/seguidores</t>
  </si>
  <si>
    <t xml:space="preserve">% vídeos</t>
  </si>
  <si>
    <t xml:space="preserve">Posts/semana</t>
  </si>
  <si>
    <t xml:space="preserve">Último post</t>
  </si>
  <si>
    <t xml:space="preserve">Dias sem postar</t>
  </si>
  <si>
    <t xml:space="preserve">Publis (de 12)</t>
  </si>
  <si>
    <t xml:space="preserve">Marcas em publis</t>
  </si>
  <si>
    <t xml:space="preserve">Nicho principal</t>
  </si>
  <si>
    <t xml:space="preserve">Nichos</t>
  </si>
  <si>
    <t xml:space="preserve">Fit CRIA</t>
  </si>
  <si>
    <t xml:space="preserve">Score (0-100)</t>
  </si>
  <si>
    <t xml:space="preserve">Categoria no IG</t>
  </si>
  <si>
    <t xml:space="preserve">Verificado</t>
  </si>
  <si>
    <t xml:space="preserve">Link na bio</t>
  </si>
  <si>
    <t xml:space="preserve">Canal de contato</t>
  </si>
  <si>
    <t xml:space="preserve">Como confirmei a cidade</t>
  </si>
  <si>
    <t xml:space="preserve">Locais marcados</t>
  </si>
  <si>
    <t xml:space="preserve">Bio</t>
  </si>
  <si>
    <t xml:space="preserve">Link</t>
  </si>
  <si>
    <t xml:space="preserve">Status</t>
  </si>
  <si>
    <t xml:space="preserve">Observações</t>
  </si>
  <si>
    <t xml:space="preserve">@thaisedemari</t>
  </si>
  <si>
    <t xml:space="preserve">Thaise de Mari</t>
  </si>
  <si>
    <t xml:space="preserve">Beleza, Negócios e empreendedorismo, Lifestyle, Moda</t>
  </si>
  <si>
    <t xml:space="preserve">Alta</t>
  </si>
  <si>
    <t xml:space="preserve">Entrepreneur</t>
  </si>
  <si>
    <t xml:space="preserve">Itajaí: bio</t>
  </si>
  <si>
    <t xml:space="preserve">Barcelona, España (2), Formentera, Islas Baleares, Spain (2), Ibiza, Spain (2), Rio de Janeiro, Rio de Janeiro (1)</t>
  </si>
  <si>
    <t xml:space="preserve">Fashion • Beauty • Lifestyle • Travel • Real life / Founder @nowwabrand                                       / Caixa Postal 46 Itajaí-SC Cep 88301-970</t>
  </si>
  <si>
    <t xml:space="preserve">https://instagram.com/thaisedemari</t>
  </si>
  <si>
    <t xml:space="preserve">Não contatada</t>
  </si>
  <si>
    <t xml:space="preserve">@lucasmirandasc</t>
  </si>
  <si>
    <t xml:space="preserve">Lucas Miranda</t>
  </si>
  <si>
    <t xml:space="preserve">Gastronomia, Fitness e wellness, Viagem</t>
  </si>
  <si>
    <t xml:space="preserve">Baixa</t>
  </si>
  <si>
    <t xml:space="preserve">Digital creator</t>
  </si>
  <si>
    <t xml:space="preserve">Itajaí: bio, 2 post(s) marcados</t>
  </si>
  <si>
    <t xml:space="preserve">Itajaí- Santa Catarina (2)</t>
  </si>
  <si>
    <t xml:space="preserve">Itajaí - SC📍 / Hospedagens | Gastronomia  / MISTER LAS AMÉRICAS ITAJAÍ 2026 / Embaixador: @lfmen @mancluboficial @3coracoes @maxinutrioficial @academia.ad3</t>
  </si>
  <si>
    <t xml:space="preserve">https://instagram.com/lucasmirandasc</t>
  </si>
  <si>
    <t xml:space="preserve">@superdicasnaestrada</t>
  </si>
  <si>
    <t xml:space="preserve">Super Dicas na Estrada - Lucas e Maitê</t>
  </si>
  <si>
    <t xml:space="preserve">Dicas locais, Gastronomia</t>
  </si>
  <si>
    <t xml:space="preserve">Sim</t>
  </si>
  <si>
    <t xml:space="preserve">whats</t>
  </si>
  <si>
    <t xml:space="preserve">Itajaí: 1 post(s) marcados</t>
  </si>
  <si>
    <t xml:space="preserve">Blumenau, Santa Catarina, Brazil (2), Piçarras (1), Rodeio (1), Itajaí -SC (1)</t>
  </si>
  <si>
    <t xml:space="preserve">🌎 Super Dicas pelas estradas do Sul do Brasil! / 🚀+ de 600 empresas parceiras! / ⭐️ Divulgue sua marca aqui! / ⬇️ Contato Whats:</t>
  </si>
  <si>
    <t xml:space="preserve">https://instagram.com/superdicasnaestrada</t>
  </si>
  <si>
    <t xml:space="preserve">Curtidas ocultas: engajamento calculado só com posts visíveis ou indisponível</t>
  </si>
  <si>
    <t xml:space="preserve">@raissaarcanjo</t>
  </si>
  <si>
    <t xml:space="preserve">Raíssa Arcanjo</t>
  </si>
  <si>
    <t xml:space="preserve">Itajaí: 4 post(s) marcados</t>
  </si>
  <si>
    <t xml:space="preserve">Itajaí (4), Greenvalley (1), Balneário Shopping (1), Navegantes (1)</t>
  </si>
  <si>
    <t xml:space="preserve">Geralmente posto muitooo. 🗣️ / Palestrante, Mentora, Influenciadora, Empreendedora, Colunista Social.  🧠  / VICIADA EM VER GENTE VENCENDO NA VIDA! 🫀</t>
  </si>
  <si>
    <t xml:space="preserve">https://instagram.com/raissaarcanjo</t>
  </si>
  <si>
    <t xml:space="preserve">@itajaisc_</t>
  </si>
  <si>
    <t xml:space="preserve">Renildo Figueiredo 😎</t>
  </si>
  <si>
    <t xml:space="preserve">Finanças, Dicas locais, Entretenimento e humor, Família e maternidade</t>
  </si>
  <si>
    <t xml:space="preserve">Média</t>
  </si>
  <si>
    <t xml:space="preserve">direct</t>
  </si>
  <si>
    <t xml:space="preserve">Itajaí: bio, 7 post(s) marcados</t>
  </si>
  <si>
    <t xml:space="preserve">Itajaí, Santa Catarina, Brasil (6), Parrilla 674 (2), Balneário Piçarras - SC (1), Itajaí (1)</t>
  </si>
  <si>
    <t xml:space="preserve">Um Nortista🛫 vivendo em 🛬Itajaí😎 / 🌴 Itajaí &amp; SC sem filtros / 🏡 Onde morar, passear e investir / 💰 Custo de vida, dicas e lazer / 📲 parceiras via Direct</t>
  </si>
  <si>
    <t xml:space="preserve">https://instagram.com/itajaisc_</t>
  </si>
  <si>
    <t xml:space="preserve">@nubiakatyoficial</t>
  </si>
  <si>
    <t xml:space="preserve">Núbia | Mãe &amp; Blogueira • Itajai</t>
  </si>
  <si>
    <t xml:space="preserve">Entretenimento e humor, Família e maternidade</t>
  </si>
  <si>
    <t xml:space="preserve">Itajaí: bio, 8 post(s) marcados</t>
  </si>
  <si>
    <t xml:space="preserve">Itajaí -SC (7), Itajaí (1)</t>
  </si>
  <si>
    <t xml:space="preserve">🗣️| FALA MEUX QUIRIDU. TAX TOLO ?  / 🩷| MÃE DE DOIS BOCA DE SACOLA  / 📍| ITAJAÍ | +70 MILHÕES DE VIEWS TÁ ?</t>
  </si>
  <si>
    <t xml:space="preserve">https://instagram.com/nubiakatyoficial</t>
  </si>
  <si>
    <t xml:space="preserve">@eogriilo</t>
  </si>
  <si>
    <t xml:space="preserve">Geovane José - Influencer de Itajaí</t>
  </si>
  <si>
    <t xml:space="preserve">Entretenimento e humor, Negócios e empreendedorismo</t>
  </si>
  <si>
    <t xml:space="preserve">Itajaí -SC (6), São Vicente, Itajaí (2)</t>
  </si>
  <si>
    <t xml:space="preserve">Fala comigo, tropa. / Empresário | Influencer | Dono de Barbearia / Proprietário da @nareguaitajai / Publicidade: @agenciachammma   / Itajaí Sc</t>
  </si>
  <si>
    <t xml:space="preserve">https://instagram.com/eogriilo</t>
  </si>
  <si>
    <t xml:space="preserve">@gabryelnuness</t>
  </si>
  <si>
    <t xml:space="preserve">Gabryel Nunes - Influenciador de Itajaí</t>
  </si>
  <si>
    <t xml:space="preserve">Negócios e empreendedorismo, Entretenimento e humor</t>
  </si>
  <si>
    <t xml:space="preserve">Itajaí: 9 post(s) marcados</t>
  </si>
  <si>
    <t xml:space="preserve">Itajaí (9), Estefano Jose Vanolli (1), Pizzaria Herois da Pizza (1)</t>
  </si>
  <si>
    <t xml:space="preserve">🎙️ FALA COMIGO RAPAZEADA / 🎤 Influencer • Empresário • Comunicador / 📲 Publicidades • @agenciachammma</t>
  </si>
  <si>
    <t xml:space="preserve">https://instagram.com/gabryelnuness</t>
  </si>
  <si>
    <t xml:space="preserve">@julianadomareski</t>
  </si>
  <si>
    <t xml:space="preserve">Juliana Domareski</t>
  </si>
  <si>
    <t xml:space="preserve">Especialista que cria conteúdo</t>
  </si>
  <si>
    <t xml:space="preserve">Viagem, Negócios e empreendedorismo, Casa e organização</t>
  </si>
  <si>
    <t xml:space="preserve">None</t>
  </si>
  <si>
    <t xml:space="preserve">Itajaí: bio, 2 post(s) marcados; Balneário Camboriú: bio, 2 post(s) marcados</t>
  </si>
  <si>
    <t xml:space="preserve">Imobiliária Terra (3), Balneário Camboriú (2), Praia Brava - Itajaí/SC (2), Copacabana, Rio de Janeiro (1)</t>
  </si>
  <si>
    <t xml:space="preserve">CEO / Grupo Domma | @terra_imobiliaria / Estruturação de operações imobiliárias para quem quer multiplicar capital. / Balneário Camboriú • Praia Brava • SC</t>
  </si>
  <si>
    <t xml:space="preserve">https://instagram.com/julianadomareski</t>
  </si>
  <si>
    <t xml:space="preserve">@gabyoliveirasc</t>
  </si>
  <si>
    <t xml:space="preserve">Gabriela Oliveira | Casamento cristão &amp; Vida real</t>
  </si>
  <si>
    <t xml:space="preserve">Relacionamento, Família e maternidade, Lifestyle, Educação e conhecimento</t>
  </si>
  <si>
    <t xml:space="preserve">Itajaí -SC (2)</t>
  </si>
  <si>
    <t xml:space="preserve">Psicóloga • Terapeuta de casais • Esposa / Mãe do Joaquim, à espera do Jonatas 🤰🏻 / ✝️ Fé, casamento &amp; vida real / 📍 Itajaí/SC</t>
  </si>
  <si>
    <t xml:space="preserve">https://instagram.com/gabyoliveirasc</t>
  </si>
  <si>
    <t xml:space="preserve">@tatypassos__</t>
  </si>
  <si>
    <t xml:space="preserve">Taty Passos | Explore SC</t>
  </si>
  <si>
    <t xml:space="preserve">Gastronomia, Beleza, Entretenimento e humor, Casa e organização</t>
  </si>
  <si>
    <t xml:space="preserve">Itajaí: 1 post(s) marcados; Balneário Camboriú: 1 post(s) marcados</t>
  </si>
  <si>
    <t xml:space="preserve">Balneário Piçarras (2), Curitiba, Paraná (1), Balneário Piçarras - SC (1), Itajaí (1)</t>
  </si>
  <si>
    <t xml:space="preserve">🦋Os padrões de beleza que lutem para se encaixar em mim! / 🚀Foguete tem ré sim, mas não comigo / 🍽️Gastronomia &amp; Humor / @exploresantacatarina @casadataty__</t>
  </si>
  <si>
    <t xml:space="preserve">https://instagram.com/tatypassos__</t>
  </si>
  <si>
    <t xml:space="preserve">@toemdrika</t>
  </si>
  <si>
    <t xml:space="preserve">Drika | Influenciadora em Santa Catarina</t>
  </si>
  <si>
    <t xml:space="preserve">@promenacmotoshonda</t>
  </si>
  <si>
    <t xml:space="preserve">Fitness e wellness, Lifestyle</t>
  </si>
  <si>
    <t xml:space="preserve">email</t>
  </si>
  <si>
    <t xml:space="preserve">Itajaí: bio, 3 post(s) marcados</t>
  </si>
  <si>
    <t xml:space="preserve">Itajaí (3), Piçarras (1)</t>
  </si>
  <si>
    <t xml:space="preserve">📍Baiana em Itajaí  / 📧 [e-mail na bio] / 🏋🏾‍♀️Embaixadora @pratiquefitness  / Quer se mudar pra SC? Eu te ajudo👇</t>
  </si>
  <si>
    <t xml:space="preserve">https://instagram.com/toemdrika</t>
  </si>
  <si>
    <t xml:space="preserve">@mordomorodrigo_oficial</t>
  </si>
  <si>
    <t xml:space="preserve">Mordomo Rodrig️o</t>
  </si>
  <si>
    <t xml:space="preserve">Itajaí: bio, 1 post(s) marcados; Itapema: 2 post(s) marcados</t>
  </si>
  <si>
    <t xml:space="preserve">Itapema, Santa Catarina, Brazil (2), Florianópolis, Santa Catarina, Brasil (2), Brasil Santa Catarina (1), Praia Brava - Itajaí/SC (1)</t>
  </si>
  <si>
    <t xml:space="preserve">⚫Influencer/Itajaí SC / PR 😊 / ⚫Mordomo de noivas  / ⚫Mordomo das estrelas / ⚫Modelo/Ator/Bailarino / ⚫️❤️🔒🥰</t>
  </si>
  <si>
    <t xml:space="preserve">https://instagram.com/mordomorodrigo_oficial</t>
  </si>
  <si>
    <t xml:space="preserve">@herique.finatto</t>
  </si>
  <si>
    <t xml:space="preserve">Herique Finato</t>
  </si>
  <si>
    <t xml:space="preserve">Lifestyle, Fitness e wellness</t>
  </si>
  <si>
    <t xml:space="preserve">Praia Brava - Itajai (1)</t>
  </si>
  <si>
    <t xml:space="preserve">🔥 Criador de conteúdo  / 🏋🏼 Minha rotina diária nos stories  / 🌱Inspirando uma vida saudável e ativa</t>
  </si>
  <si>
    <t xml:space="preserve">https://instagram.com/herique.finatto</t>
  </si>
  <si>
    <t xml:space="preserve">@shophome.brasil</t>
  </si>
  <si>
    <t xml:space="preserve">Shophome | Dicas BC, Itajaí e Região</t>
  </si>
  <si>
    <t xml:space="preserve">Página local / guia</t>
  </si>
  <si>
    <t xml:space="preserve">Página/marca</t>
  </si>
  <si>
    <t xml:space="preserve">Entretenimento e humor, Dicas locais, Lifestyle, Casa e organização</t>
  </si>
  <si>
    <t xml:space="preserve">Itajaí: bio; Balneário Camboriú: bio</t>
  </si>
  <si>
    <t xml:space="preserve">💙Dicas, dia a dia e humor  / 📍 Indicações em BC, Itajaí e região  / ⬇️ Entre no grupo de ofertas</t>
  </si>
  <si>
    <t xml:space="preserve">https://instagram.com/shophome.brasil</t>
  </si>
  <si>
    <t xml:space="preserve">@isabelaonofre</t>
  </si>
  <si>
    <t xml:space="preserve">Isabela Onofre</t>
  </si>
  <si>
    <t xml:space="preserve">Fitness e wellness, Dicas locais, Moda</t>
  </si>
  <si>
    <t xml:space="preserve">Balneário Camboriú: 1 post(s) marcados; Itajaí: 3 post(s) marcados</t>
  </si>
  <si>
    <t xml:space="preserve">Itajaí -SC (3), Balneário Camboriú (1), Estação Azul (1), Monthez Hotel &amp; Eventos (1)</t>
  </si>
  <si>
    <t xml:space="preserve">Dicas, treinos, looks e uns surtos de uma geminiana 30+ 💖✌🏻 / “ME DIVERTINDO NO DESCONFORTO”  / 💌 Parcerias: [e-mail na bio]</t>
  </si>
  <si>
    <t xml:space="preserve">https://instagram.com/isabelaonofre</t>
  </si>
  <si>
    <t xml:space="preserve">@bevieiraa</t>
  </si>
  <si>
    <t xml:space="preserve">Beatriz Vieira | Maquiadora</t>
  </si>
  <si>
    <t xml:space="preserve">Beleza, Viagem, Negócios e empreendedorismo, Educação e conhecimento</t>
  </si>
  <si>
    <t xml:space="preserve">Beauty, cosmetic &amp; personal care</t>
  </si>
  <si>
    <t xml:space="preserve">Itajaí: bio, 1 post(s) marcados</t>
  </si>
  <si>
    <t xml:space="preserve">Curacao Caribe (1), Itajaí (1), Bloove • Be Vieira (1)</t>
  </si>
  <si>
    <t xml:space="preserve">Beauty, viagens &amp; vida real / Itajaí | SC / Makeup Artist há 12 anos / Fundadora da @bloovebeauty / 💌 Agendamentos • Orçamentos • Cursos • Publicidade ↓</t>
  </si>
  <si>
    <t xml:space="preserve">https://instagram.com/bevieiraa</t>
  </si>
  <si>
    <t xml:space="preserve">@melissagmenezes</t>
  </si>
  <si>
    <t xml:space="preserve">Melissa Menezes</t>
  </si>
  <si>
    <t xml:space="preserve">Casa e organização, Família e maternidade, Educação e conhecimento, Dicas locais</t>
  </si>
  <si>
    <t xml:space="preserve">Itajaí: bio, 11 post(s) marcados</t>
  </si>
  <si>
    <t xml:space="preserve">Itajaí -SC (6), Itajaí (4), Itajaí, Santa Catarina, Brasil (1)</t>
  </si>
  <si>
    <t xml:space="preserve">Itajai-SC - Vegetariana 🌱 Voluntária da causa animal 🐶💖😺 Maquiadora, Profª de Inglês. Mãe de 4🐶🐶🐶🐶 Lar Temporário do Bento 🐶</t>
  </si>
  <si>
    <t xml:space="preserve">https://instagram.com/melissagmenezes</t>
  </si>
  <si>
    <t xml:space="preserve">@divulgaitajai</t>
  </si>
  <si>
    <t xml:space="preserve">DIVULGA ITAJAÍ</t>
  </si>
  <si>
    <t xml:space="preserve">Dicas locais, Educação e conhecimento</t>
  </si>
  <si>
    <t xml:space="preserve">Community</t>
  </si>
  <si>
    <t xml:space="preserve">Itajaí: bio, 5 post(s) marcados</t>
  </si>
  <si>
    <t xml:space="preserve">Itajaí, Santa Catarina, Brasil (2), Alfa Bile (2), Molhes da Barra Itajaí (2), Disk Água Bebí (1)</t>
  </si>
  <si>
    <t xml:space="preserve">💙 Itajaí por @alfabile / ⚓️ Paisagens | Cotidiano | Arte / ✨ O olhar mais apaixonado pela nossa cidade / 👇 Wallpapers exclusivos e Dicas no Canal</t>
  </si>
  <si>
    <t xml:space="preserve">https://instagram.com/divulgaitajai</t>
  </si>
  <si>
    <t xml:space="preserve">@solaynesantos</t>
  </si>
  <si>
    <t xml:space="preserve">ꜱᴏʟ - Influencer, Social Media &amp; Videomaker | Itajaí</t>
  </si>
  <si>
    <t xml:space="preserve">Gastronomia, Social mídia e conteúdo</t>
  </si>
  <si>
    <t xml:space="preserve">Itajaí: bio, 4 post(s) marcados; Balneário Camboriú: 2 post(s) marcados</t>
  </si>
  <si>
    <t xml:space="preserve">Itajaí, Santa Catarina, Brasil (3), Balneário Camboriú (2), New Shoes Itajaí (1), Central Pádel Br (1)</t>
  </si>
  <si>
    <t xml:space="preserve">📱Influencer, Social Media &amp; Videomaker  / ✈️ Paulista em SC |📍Itajaí SC / 💡Criando conteúdo autêntico para sua marca!  / 💌 [e-mail na bio]</t>
  </si>
  <si>
    <t xml:space="preserve">https://instagram.com/solaynesantos</t>
  </si>
  <si>
    <t xml:space="preserve">@brigadeiroealecrim</t>
  </si>
  <si>
    <t xml:space="preserve">Brigadeiro e Alecrim ® - Balneário Camboriú</t>
  </si>
  <si>
    <t xml:space="preserve">Itajaí: 7 post(s) marcados</t>
  </si>
  <si>
    <t xml:space="preserve">Itajaí (7), Fazzenda Park Resort (1)</t>
  </si>
  <si>
    <t xml:space="preserve">Depois de 10 anos entre panelas e doces,  / resolvi experimentar o outro lado da mesa. / Aqui tem experiências que eu realmente acho que valem a pena!</t>
  </si>
  <si>
    <t xml:space="preserve">https://instagram.com/brigadeiroealecrim</t>
  </si>
  <si>
    <t xml:space="preserve">@eubarbaraabreu</t>
  </si>
  <si>
    <t xml:space="preserve">Bárbara Abreu</t>
  </si>
  <si>
    <t xml:space="preserve">Beleza, Gastronomia</t>
  </si>
  <si>
    <t xml:space="preserve">Itajaí (2), Itajaí -SC (2), Laviér Store Itajaí (1), Mercure Itajai Navegantes (1)</t>
  </si>
  <si>
    <t xml:space="preserve">Bem-vinda(o)!   / 👑 Miss Supranational Itajaí 2025 / 💌 [e-mail na bio]</t>
  </si>
  <si>
    <t xml:space="preserve">https://instagram.com/eubarbaraabreu</t>
  </si>
  <si>
    <t xml:space="preserve">@omelhordeitajai</t>
  </si>
  <si>
    <t xml:space="preserve">O destino começa aqui. / Belezas, sabores e experiências de Itajaí. / 🌊 Explore o melhor da cidade / Por: @itajaiconvention</t>
  </si>
  <si>
    <t xml:space="preserve">https://instagram.com/omelhordeitajai</t>
  </si>
  <si>
    <t xml:space="preserve">@lu.monaly</t>
  </si>
  <si>
    <t xml:space="preserve">Luciana Monaly</t>
  </si>
  <si>
    <t xml:space="preserve">Itajaí: bio, 10 post(s) marcados</t>
  </si>
  <si>
    <t xml:space="preserve">Itajaí -SC (6), Santa Catarina Itajai (4)</t>
  </si>
  <si>
    <t xml:space="preserve">Itajaí SC / Modelo  / Maquiadora- @monaly.makeup  / Publicidade e Propaganda, Atriz por: @escolawolfmaya🎬</t>
  </si>
  <si>
    <t xml:space="preserve">https://instagram.com/lu.monaly</t>
  </si>
  <si>
    <t xml:space="preserve">@cademinhascoisas</t>
  </si>
  <si>
    <t xml:space="preserve">Cadê Minhas Coisas? • Soluções em Organização</t>
  </si>
  <si>
    <t xml:space="preserve">Casa e organização, Família e maternidade</t>
  </si>
  <si>
    <t xml:space="preserve">Desde 2013 transformando lares (e vidas!) 💖 / 📍 Curitiba | Itajaí | BC  / Para orçamentos, clique no link abaixo 👇🏼</t>
  </si>
  <si>
    <t xml:space="preserve">https://instagram.com/cademinhascoisas</t>
  </si>
  <si>
    <t xml:space="preserve">@bruna_alika</t>
  </si>
  <si>
    <t xml:space="preserve">Bruna Alika</t>
  </si>
  <si>
    <t xml:space="preserve">Negócios e empreendedorismo, Família e maternidade, Gastronomia</t>
  </si>
  <si>
    <t xml:space="preserve">Itajaí: bio, 6 post(s) marcados</t>
  </si>
  <si>
    <t xml:space="preserve">Itajaí (6), Arena Bombinhas (2)</t>
  </si>
  <si>
    <t xml:space="preserve">Mulher Multifunções ligada no 220🤣 / + 15mil já dançaram comigo  / 💻CEO @tourpexero / 💃@grupofloreser_ / ✨Dança @prefeituradeitajai / 🙏Mãe de 3 / Parceria</t>
  </si>
  <si>
    <t xml:space="preserve">https://instagram.com/bruna_alika</t>
  </si>
  <si>
    <t xml:space="preserve">@millycristt</t>
  </si>
  <si>
    <t xml:space="preserve">Emilly Cristine | StoryMaker e VideoMaker</t>
  </si>
  <si>
    <t xml:space="preserve">Santa Catarina (1)</t>
  </si>
  <si>
    <t xml:space="preserve">🚀 | Transformo a sua ideia em um conteúdo impactante / 🤳🏼 | Fotografia • Vídeo • Real Time / 📍 | Itajaí e região / Eternize seu momento ⬇️</t>
  </si>
  <si>
    <t xml:space="preserve">https://instagram.com/millycristt</t>
  </si>
  <si>
    <t xml:space="preserve">@thais_araujo.7</t>
  </si>
  <si>
    <t xml:space="preserve">Thais</t>
  </si>
  <si>
    <t xml:space="preserve">UGC, Dicas locais</t>
  </si>
  <si>
    <t xml:space="preserve">Speedway Music Park (1), Chile (1), Lagoa Misteriosa (1)</t>
  </si>
  <si>
    <t xml:space="preserve">🌎 Lugares, sabores &amp; aventuras / ✨ Transformando experiências em histórias / 📍 Itajaí • SC | UGC Creator / Bora viver essa experiência comigo?</t>
  </si>
  <si>
    <t xml:space="preserve">https://instagram.com/thais_araujo.7</t>
  </si>
  <si>
    <t xml:space="preserve">@gabxmelo</t>
  </si>
  <si>
    <t xml:space="preserve">Gabi Melo 🌻</t>
  </si>
  <si>
    <t xml:space="preserve">Personal blog</t>
  </si>
  <si>
    <t xml:space="preserve">Itajaí: 3 post(s) marcados</t>
  </si>
  <si>
    <t xml:space="preserve">Itajaí -SC (1), Praia Brava - Itajaí/SC (1), Santa Catarina Itajai (1)</t>
  </si>
  <si>
    <t xml:space="preserve">SC 📍 / Comércio exterior 🛳️ / 🏳️‍🌈</t>
  </si>
  <si>
    <t xml:space="preserve">https://instagram.com/gabxmelo</t>
  </si>
  <si>
    <t xml:space="preserve">@joanakathelen</t>
  </si>
  <si>
    <t xml:space="preserve">Joana Kathelen</t>
  </si>
  <si>
    <t xml:space="preserve">Itajaí: 11 post(s) marcados</t>
  </si>
  <si>
    <t xml:space="preserve">Itajaí (8), Centro De Itajai Santa Catarina. (3)</t>
  </si>
  <si>
    <t xml:space="preserve">🌸 Mãe de dois príncipes  / 💙@heitorbitencourt1 / 💚@henriquebitencourt2 / 💼 @serpa.log</t>
  </si>
  <si>
    <t xml:space="preserve">https://instagram.com/joanakathelen</t>
  </si>
  <si>
    <t xml:space="preserve">@n1kx_x</t>
  </si>
  <si>
    <t xml:space="preserve">Nicolly Machado - UGC Creator</t>
  </si>
  <si>
    <t xml:space="preserve">UGC, Casa e organização</t>
  </si>
  <si>
    <t xml:space="preserve">Public figure</t>
  </si>
  <si>
    <t xml:space="preserve">Goiânia, Brazil (1), Piscina Natural da Barra da Lagoa (1), Ilha da Magia - Floripa (1), Trancoso, Bahia, Brazil (1)</t>
  </si>
  <si>
    <t xml:space="preserve">Design de interiores / 💼@campeche.joias</t>
  </si>
  <si>
    <t xml:space="preserve">https://instagram.com/n1kx_x</t>
  </si>
  <si>
    <t xml:space="preserve">@itajaimilgr4u</t>
  </si>
  <si>
    <t xml:space="preserve">Itajai Mil Grau</t>
  </si>
  <si>
    <t xml:space="preserve">Moda, Entretenimento e humor</t>
  </si>
  <si>
    <t xml:space="preserve">Itajaí: bio, 6 post(s) marcados; Balneário Camboriú: 1 post(s) marcados</t>
  </si>
  <si>
    <t xml:space="preserve">Itajaí -SC (4), Itajaí (1), Praia Do Atalaia - Itajaí (1), Balneário Camboriú - Praia (1)</t>
  </si>
  <si>
    <t xml:space="preserve">Entretenimento, humor e curiosidades de Itajaí e Região / 🎯Conectando moradores,turistas e marcas locais / 💌Anuncie sua empresa com estilo e alcance real⚓</t>
  </si>
  <si>
    <t xml:space="preserve">https://instagram.com/itajaimilgr4u</t>
  </si>
  <si>
    <t xml:space="preserve">@danielipickering</t>
  </si>
  <si>
    <t xml:space="preserve">Dani Pickering</t>
  </si>
  <si>
    <t xml:space="preserve">Família e maternidade, Fitness e wellness, Lifestyle, Negócios e empreendedorismo</t>
  </si>
  <si>
    <t xml:space="preserve">Itajaí (3), Itajaí -SC (1), Greenvalley (1)</t>
  </si>
  <si>
    <t xml:space="preserve">Mãe da Kali 💓 / Movimento, trabalho e vida real ✨ / Marketing do Grupo Health Brasil / @healthycann @healthimporter  / @healthimporter @nexpurepharma</t>
  </si>
  <si>
    <t xml:space="preserve">https://instagram.com/danielipickering</t>
  </si>
  <si>
    <t xml:space="preserve">@ana_paula_videomaker</t>
  </si>
  <si>
    <t xml:space="preserve">VIDEOMAKER MOBILE | ITAJAÍ</t>
  </si>
  <si>
    <t xml:space="preserve">@ericaalme_, @lucasfelipexavier, @mariana_talamini, @esquina_doacairs</t>
  </si>
  <si>
    <t xml:space="preserve">Social mídia e conteúdo, Relacionamento</t>
  </si>
  <si>
    <t xml:space="preserve">Reel creator</t>
  </si>
  <si>
    <t xml:space="preserve">Itaipava Club Residence (1)</t>
  </si>
  <si>
    <t xml:space="preserve">🎥 Videomaker Mobile | Itajaí-SC / 🎬 Transformo momentos em memória pelo celular 📲 ✨ Capto emoções reais em vídeo / 📱 Acesse o link e veja meu portfólio ⬇️</t>
  </si>
  <si>
    <t xml:space="preserve">https://instagram.com/ana_paula_videomaker</t>
  </si>
  <si>
    <t xml:space="preserve">@marcelabontorin</t>
  </si>
  <si>
    <t xml:space="preserve">Marcela Bontorin | Estrategista de Imagem e Mentora</t>
  </si>
  <si>
    <t xml:space="preserve">Negócios e empreendedorismo, Social mídia e conteúdo, Moda</t>
  </si>
  <si>
    <t xml:space="preserve">Itajaí: 2 post(s) marcados</t>
  </si>
  <si>
    <t xml:space="preserve">Estaleiro Guest House (1), Luvcoffee (1), Itajaí -SC (1), Santa Catarina Itajai (1)</t>
  </si>
  <si>
    <t xml:space="preserve">“Autoridade não se veste, se constrói” / Empreendedora | Mentora | Palestrante / @ecossdosucesso @arlinkinternet @moda_circula_ @literariasdovale</t>
  </si>
  <si>
    <t xml:space="preserve">https://instagram.com/marcelabontorin</t>
  </si>
  <si>
    <t xml:space="preserve">@tonsdeana</t>
  </si>
  <si>
    <t xml:space="preserve">Ana Antonelo | Comunicadora de Moda</t>
  </si>
  <si>
    <t xml:space="preserve">Itajaí, Santa Catarina, Brasil (8), Joinville Santa Catarina (1), Mercado Velho Itajaí (1)</t>
  </si>
  <si>
    <t xml:space="preserve">Hoje eu acordei querendo te irritar, / será que eu consigo? 👀 / Aqui tem moda com borogodó &amp; muito brechó! ✨ / Crio conteúdos autênticos para sua marca 🫵🏻</t>
  </si>
  <si>
    <t xml:space="preserve">https://instagram.com/tonsdeana</t>
  </si>
  <si>
    <t xml:space="preserve">@brunasamanthas</t>
  </si>
  <si>
    <t xml:space="preserve">Bruna Samantha | Corretora de Imóveis</t>
  </si>
  <si>
    <t xml:space="preserve">Finanças, Viagem, Negócios e empreendedorismo, Família e maternidade</t>
  </si>
  <si>
    <t xml:space="preserve">Praia Brava - Itajaí/SC (6)</t>
  </si>
  <si>
    <t xml:space="preserve">Imóveis únicos, localizações desejadas. / Investimentos inteligentes. / Corretora Associada @jeancarloexclusive / 📍Itajaí | Praia Brava | BC / CRECI SC 68926F</t>
  </si>
  <si>
    <t xml:space="preserve">https://instagram.com/brunasamanthas</t>
  </si>
  <si>
    <t xml:space="preserve">@andreza.marinho_22</t>
  </si>
  <si>
    <t xml:space="preserve">Andreza Marinho | Atleta</t>
  </si>
  <si>
    <t xml:space="preserve">Itajaí: bio; Itapema: 1 post(s) marcados</t>
  </si>
  <si>
    <t xml:space="preserve">Hard Rock Cafe Itapema (1)</t>
  </si>
  <si>
    <t xml:space="preserve">🏃🏻‍♀️ Corredora | Itajaí-SC / 🏅 9 pódios em 1 ano / 📈 Evolução, disciplina &amp; constância / 🧸 Respeita o pace fofo  / 🤝 Parcerias &amp; patrocínios</t>
  </si>
  <si>
    <t xml:space="preserve">https://instagram.com/andreza.marinho_22</t>
  </si>
  <si>
    <t xml:space="preserve">@brunoleon.blm</t>
  </si>
  <si>
    <t xml:space="preserve">Bruno Leon | Corrida e Vida Real</t>
  </si>
  <si>
    <t xml:space="preserve">Fitness e wellness, Lifestyle, Negócios e empreendedorismo, Família e maternidade</t>
  </si>
  <si>
    <t xml:space="preserve">Athlete</t>
  </si>
  <si>
    <t xml:space="preserve">Itajaí: 2 post(s) marcados; Itapema: 1 post(s) marcados</t>
  </si>
  <si>
    <t xml:space="preserve">Pista De Atletismo De Itajai (2), Itapema, Brazil (1), Beira Mar.. Floripa.. (1), Maratona Internacional de Floripa (1)</t>
  </si>
  <si>
    <t xml:space="preserve">✞ JESUS ✞ / 👶🏻 Pai da Milena - 610g 🎀 / 🏅MARATONISTA - 02:49:28 / CEO 🏃🏻 @assessoria.leon  / 💍 @luujohann / 💼 @donaruiva.pijamas / Faça parte da ASSESSORIA ⬇️</t>
  </si>
  <si>
    <t xml:space="preserve">https://instagram.com/brunoleon.blm</t>
  </si>
  <si>
    <t xml:space="preserve">@karinawbauer</t>
  </si>
  <si>
    <t xml:space="preserve">Karina Bauer | Real Estate</t>
  </si>
  <si>
    <t xml:space="preserve">Viagem, Finanças, Casa e organização, Educação e conhecimento</t>
  </si>
  <si>
    <t xml:space="preserve">Curadoria de imóveis &amp; oportunidades / Patrimônio • Investimento  / 📍 Praia Brava, Itajaí • Florianópolis | SC / ↓ Atendimento exclusivo</t>
  </si>
  <si>
    <t xml:space="preserve">https://instagram.com/karinawbauer</t>
  </si>
  <si>
    <t xml:space="preserve">@rurikdrone</t>
  </si>
  <si>
    <t xml:space="preserve">Rurik | Filmmaker</t>
  </si>
  <si>
    <t xml:space="preserve">Viagem, Dicas locais</t>
  </si>
  <si>
    <t xml:space="preserve">Itajaí: bio, 10 post(s) marcados; Balneário Camboriú: 2 post(s) marcados</t>
  </si>
  <si>
    <t xml:space="preserve">Itajaí (5), Praia Brava - Itajaí/SC (4), Balneário Camboriú (2), Praia Brava - Itajaí SC (1)</t>
  </si>
  <si>
    <t xml:space="preserve">📍 Itajaí &amp; Litoral SC / 🎥 Fotografia aérea | Imóveis | Tours 360 / 🏙️ Descobrindo lugares incríveis. / 🔗 Projetos e parcerias 👇</t>
  </si>
  <si>
    <t xml:space="preserve">https://instagram.com/rurikdrone</t>
  </si>
  <si>
    <t xml:space="preserve">@annacarolgarimpo</t>
  </si>
  <si>
    <t xml:space="preserve">Anna Carol | Influenciadora e UGC Creator- Itajaí</t>
  </si>
  <si>
    <t xml:space="preserve">Beleza, UGC, Lifestyle, Dicas locais</t>
  </si>
  <si>
    <t xml:space="preserve">Itajaí: 6 post(s) marcados</t>
  </si>
  <si>
    <t xml:space="preserve">Itajaí (6), Espinheiros, Santa Catarina (1), Conforto visual (1), Canela - Serra Gaúcha/rs (1)</t>
  </si>
  <si>
    <t xml:space="preserve">Oi amigas,  / Dicas | Beleza | Lifestyle  / &amp; um pouquinho de tudo que me faz ser eu  / ✨🧚‍♀️🌞🧜🏼‍♀️🔮</t>
  </si>
  <si>
    <t xml:space="preserve">https://instagram.com/annacarolgarimpo</t>
  </si>
  <si>
    <t xml:space="preserve">@enfbapereira</t>
  </si>
  <si>
    <t xml:space="preserve">Bárbara Pereira</t>
  </si>
  <si>
    <t xml:space="preserve">Lifestyle, Dicas locais</t>
  </si>
  <si>
    <t xml:space="preserve">Itajaí -SC (1), Igreja Matriz Itajai (1), Brusque, Santa Catarina (1), Limeira Baixa (1)</t>
  </si>
  <si>
    <t xml:space="preserve">Corpo ativo • equilíbrio • fé sem rótulo / Vida real, sem romantizar. / Enf. do Trabalho em formação 🩺 / Profissional: @enfermagemvivasc</t>
  </si>
  <si>
    <t xml:space="preserve">https://instagram.com/enfbapereira</t>
  </si>
  <si>
    <t xml:space="preserve">@isabbelle_m</t>
  </si>
  <si>
    <t xml:space="preserve">Isabelle Moraes | RE/MAX</t>
  </si>
  <si>
    <t xml:space="preserve">Itajaí: bio; Balneário Camboriú: 1 post(s) marcados</t>
  </si>
  <si>
    <t xml:space="preserve">Chile (2), Balneário Camboriú (1), Cajón del Maipo (1)</t>
  </si>
  <si>
    <t xml:space="preserve">Franqueada @remaxdreamon  / Transição de carreira com estrutura, formação e direção para corretores / 📍BC• Itajaí • NVT / 📩Fale comigo no direct</t>
  </si>
  <si>
    <t xml:space="preserve">https://instagram.com/isabbelle_m</t>
  </si>
  <si>
    <t xml:space="preserve">@eudanielabonet</t>
  </si>
  <si>
    <t xml:space="preserve">Daniela Bonet</t>
  </si>
  <si>
    <t xml:space="preserve">Itajaí (3), Grindelwald First 2200m, First Cliff Walk (1), Itajaí -SC (1), Marrocos (1)</t>
  </si>
  <si>
    <t xml:space="preserve">📍SC</t>
  </si>
  <si>
    <t xml:space="preserve">https://instagram.com/eudanielabonet</t>
  </si>
  <si>
    <t xml:space="preserve">@psicologademae</t>
  </si>
  <si>
    <t xml:space="preserve">Terapia gestação, depressão pós-parto. Grupo de mães Itajaí/BC</t>
  </si>
  <si>
    <t xml:space="preserve">Educação e conhecimento, Família e maternidade</t>
  </si>
  <si>
    <t xml:space="preserve">Psychologist</t>
  </si>
  <si>
    <t xml:space="preserve">Itajaí: bio, 4 post(s) marcados</t>
  </si>
  <si>
    <t xml:space="preserve">Itajaí, Santa Catarina, Brasil (2), Praia Central - Baln. Camburiu (2), Itajaí -SC (2), Curitiba (1)</t>
  </si>
  <si>
    <t xml:space="preserve">🛋️Terapia para mulheres que querem se reencontrar após a maternidade / 🤰Pré-natal psicológico para gestantes / 📍Atendimentos on-line, Itajaí e BC / Clique⤵️</t>
  </si>
  <si>
    <t xml:space="preserve">https://instagram.com/psicologademae</t>
  </si>
  <si>
    <t xml:space="preserve">@rafaeldoutore</t>
  </si>
  <si>
    <t xml:space="preserve">Rafael Dias Inácio</t>
  </si>
  <si>
    <t xml:space="preserve">Kartódromo dos Ingleses (6), Autódromo de Tarumã (1), MRT / RG3 suspension Brasil (1), HONDA-TAKAI (FL) ITAJAI (1)</t>
  </si>
  <si>
    <t xml:space="preserve">🏍️ Rider / 🏆 2x Catarinense Motovelocidade 25 - 26 / 🏆 Endurance 12H 25 🏎️ - 2H 26 🏍️ / 🎮 PRO / 👔 Lawyer / ⚖️ Pós D. do Trabalho | Previdenciário | Sucessório</t>
  </si>
  <si>
    <t xml:space="preserve">https://instagram.com/rafaeldoutore</t>
  </si>
  <si>
    <t xml:space="preserve">@treinador_veiga</t>
  </si>
  <si>
    <t xml:space="preserve">🇧🇷 𝕀𝕤𝕣𝕒𝕖𝕝 𝕍𝕖𝕚𝕘𝕒 🇧🇷</t>
  </si>
  <si>
    <t xml:space="preserve">Fitness e wellness, Lifestyle, Família e maternidade</t>
  </si>
  <si>
    <t xml:space="preserve">Itajaí -SC (7), Bistek Itajaí (2)</t>
  </si>
  <si>
    <t xml:space="preserve">🌄 𝕃𝔾ℕ𝔻: 𝟙𝟘𝟙𝟙𝟝𝟟 - ℂℝ𝔼𝔽/𝕊ℂ: 𝟘𝟚𝟙𝟟𝟚𝟜 / 🧬 ℂ𝕠𝕒𝕔𝕙 𝕖𝕞 𝕡𝕣𝕖𝕤𝕔𝕣𝕚çõ𝕖𝕤 𝕖𝕤𝕡𝕖𝕔𝕚𝕒𝕝 / 💼 @studiogv_ / 💕@kahh_farias</t>
  </si>
  <si>
    <t xml:space="preserve">https://instagram.com/treinador_veiga</t>
  </si>
  <si>
    <t xml:space="preserve">@clebercoragem</t>
  </si>
  <si>
    <t xml:space="preserve">Cleber Coragem</t>
  </si>
  <si>
    <t xml:space="preserve">Negócios e empreendedorismo, Educação e conhecimento, Família e maternidade</t>
  </si>
  <si>
    <t xml:space="preserve">Itajaí (1)</t>
  </si>
  <si>
    <t xml:space="preserve">🏆 SIM, VOCÊ PODE! ACREDITE  / ❤️‍🔥 Mentor e Terapeuta  / 💪🏾 Transformando vidas</t>
  </si>
  <si>
    <t xml:space="preserve">https://instagram.com/clebercoragem</t>
  </si>
  <si>
    <t xml:space="preserve">@amandadumbrofsqui</t>
  </si>
  <si>
    <t xml:space="preserve">Amanda Dumbrofsqui</t>
  </si>
  <si>
    <t xml:space="preserve">Lifestyle, Gastronomia, Dicas locais</t>
  </si>
  <si>
    <t xml:space="preserve">Itajaí, Santa Catarina, Brasil (5), Italiana Garden Café (1), Beto Carrero World (1)</t>
  </si>
  <si>
    <t xml:space="preserve">📍SC / publicitária, criativa, fã de itajaí, aspirante a uma vida de Heleninha &amp; outras coisas mais ✨ / pode reparar a bagunça 🧚🏼‍♀️</t>
  </si>
  <si>
    <t xml:space="preserve">https://instagram.com/amandadumbrofsqui</t>
  </si>
  <si>
    <t xml:space="preserve">@leandrogatelli_personal</t>
  </si>
  <si>
    <t xml:space="preserve">Leandro Gatelli</t>
  </si>
  <si>
    <t xml:space="preserve">Fitness e wellness, Educação e conhecimento, Lifestyle, Negócios e empreendedorismo</t>
  </si>
  <si>
    <t xml:space="preserve">Coach</t>
  </si>
  <si>
    <t xml:space="preserve">Itajaí -SC (10), Bistek Itajaí (1)</t>
  </si>
  <si>
    <t xml:space="preserve">🏋️‍♂️ Sócio fundador da GVs Studio / 🎓 Licenciatura Plena em Educação Física / 📚 +13 anos de experiência na área / 🎯  Musculação para Grupos Especiais</t>
  </si>
  <si>
    <t xml:space="preserve">https://instagram.com/leandrogatelli_personal</t>
  </si>
  <si>
    <t xml:space="preserve">@ddiegoo.martins</t>
  </si>
  <si>
    <t xml:space="preserve">Diego Martins</t>
  </si>
  <si>
    <t xml:space="preserve">Negócios e empreendedorismo, Educação e conhecimento, Casa e organização, Gastronomia</t>
  </si>
  <si>
    <t xml:space="preserve">Mexico City, Mexico (3), São João Batista, Santa Catarina (2), Balneário Camboriú (1), Centro Cultural Teatro Usiminas (1)</t>
  </si>
  <si>
    <t xml:space="preserve">🎤 Palestrante / 📈 Desenvolvimento de líderes / 🫶🏼 Presidente @abrh.sc / 👨‍🏫 Professor @senacitajai / 🍷Apaixonado por café e vinho</t>
  </si>
  <si>
    <t xml:space="preserve">https://instagram.com/ddiegoo.martins</t>
  </si>
  <si>
    <t xml:space="preserve">@silviaandreamota</t>
  </si>
  <si>
    <t xml:space="preserve">SILVIA MOTA</t>
  </si>
  <si>
    <t xml:space="preserve">Família e maternidade, Relacionamento, Lifestyle, Fitness e wellness</t>
  </si>
  <si>
    <t xml:space="preserve">Personal Coach</t>
  </si>
  <si>
    <t xml:space="preserve">Espinheiros, Santa Catarina (1), PIBI - Primeira Igreja Batista em Itajaí (1)</t>
  </si>
  <si>
    <t xml:space="preserve">• Cristã •Esposa • Mãe    / • Te ajudo a liderar sua rotina  com propósito 🎯 / Mais de 2k Mulheres Impactadas</t>
  </si>
  <si>
    <t xml:space="preserve">https://instagram.com/silviaandreamota</t>
  </si>
  <si>
    <t xml:space="preserve">@doulacriscurvello</t>
  </si>
  <si>
    <t xml:space="preserve">Doula Itajaí | Ed. Perinatal | Maternidade Cristã</t>
  </si>
  <si>
    <t xml:space="preserve">Família e maternidade, Relacionamento</t>
  </si>
  <si>
    <t xml:space="preserve">Itajaí -SC (3), Itajaí (1)</t>
  </si>
  <si>
    <t xml:space="preserve">Ajudo mulheres viverem uma maternidade sobre[natural]💡📖 / 👩‍❤️‍💋‍👨Esposa | Mãe de 6 👦🏻👦🏻👦🏻👧🏼👦🏻👶🏻 / 🫂Apoio físico,  emocional e espiritual  / Fale comigo💜👇🏻</t>
  </si>
  <si>
    <t xml:space="preserve">https://instagram.com/doulacriscurvello</t>
  </si>
  <si>
    <t xml:space="preserve">@personalorganizer.karen</t>
  </si>
  <si>
    <t xml:space="preserve">KAREN COLAMARIA - Personal Organizer Designer™️ | Mentora</t>
  </si>
  <si>
    <t xml:space="preserve">Casa e organização, Viagem, Negócios e empreendedorismo</t>
  </si>
  <si>
    <t xml:space="preserve">Curitiba, Paraná (2), Navegantes, Santa Catarina, Brasil (1), Brava Beach - Praia Brava (1), Curitiba, Brazil (1)</t>
  </si>
  <si>
    <t xml:space="preserve">● PRIMEIRA e ÚNICA Personal Organizer DESIGNER™ do BRASIL / ● Escritório SC e SP / ● 10 anos de Expertise / ● CRIADORA Organização Sensorial™ e Hotel Style™</t>
  </si>
  <si>
    <t xml:space="preserve">https://instagram.com/personalorganizer.karen</t>
  </si>
  <si>
    <t xml:space="preserve">@byleticiagartner</t>
  </si>
  <si>
    <t xml:space="preserve">Letícia Rauber Gartner - Projeto de Influenciadora em Itajaí</t>
  </si>
  <si>
    <t xml:space="preserve">Itajaí (3), Brasil (1), Santa Catarina, Brasil (1)</t>
  </si>
  <si>
    <t xml:space="preserve">Bastidores de uma vida entre eventos, trabalho e maternidade 🤎 / Acompanhe nos storys 🔥 / 💍 @matheusg.gartner  / 💼 @gartnereventos</t>
  </si>
  <si>
    <t xml:space="preserve">https://instagram.com/byleticiagartner</t>
  </si>
  <si>
    <t xml:space="preserve">@o.clebernunes</t>
  </si>
  <si>
    <t xml:space="preserve">Cleber Nunes</t>
  </si>
  <si>
    <t xml:space="preserve">Itajaí: 5 post(s) marcados</t>
  </si>
  <si>
    <t xml:space="preserve">Itajaí -SC (5)</t>
  </si>
  <si>
    <t xml:space="preserve">Tudo aleatório mas que faz sentido🤔😅 / Marido • Corredor amador • Futuro Surfista / [e-mail na bio] 📨</t>
  </si>
  <si>
    <t xml:space="preserve">https://instagram.com/o.clebernunes</t>
  </si>
  <si>
    <t xml:space="preserve">@brunamarqes</t>
  </si>
  <si>
    <t xml:space="preserve">Bruna Marques | Estrategista do Reino</t>
  </si>
  <si>
    <t xml:space="preserve">Social mídia e conteúdo, Educação e conhecimento</t>
  </si>
  <si>
    <t xml:space="preserve">Marlborough, Massachusetts (1), Itajaí (1)</t>
  </si>
  <si>
    <r>
      <rPr>
        <sz val="10"/>
        <rFont val="Arial"/>
        <family val="0"/>
        <charset val="1"/>
      </rPr>
      <t xml:space="preserve">Ativo o Posicionamento de mulheres que carregam uma mensagem do Reino. / IDENTIDADE </t>
    </r>
    <r>
      <rPr>
        <sz val="10"/>
        <rFont val="Noto Sans CJK SC"/>
        <family val="2"/>
      </rPr>
      <t xml:space="preserve">》</t>
    </r>
    <r>
      <rPr>
        <sz val="10"/>
        <rFont val="Arial"/>
        <family val="0"/>
        <charset val="1"/>
      </rPr>
      <t xml:space="preserve">AUTOGOVERNO </t>
    </r>
    <r>
      <rPr>
        <sz val="10"/>
        <rFont val="Noto Sans CJK SC"/>
        <family val="2"/>
      </rPr>
      <t xml:space="preserve">》</t>
    </r>
    <r>
      <rPr>
        <sz val="10"/>
        <rFont val="Arial"/>
        <family val="0"/>
        <charset val="1"/>
      </rPr>
      <t xml:space="preserve">CHAMADO  / Da essência ao legado ❤️‍🔥</t>
    </r>
  </si>
  <si>
    <t xml:space="preserve">https://instagram.com/brunamarqes</t>
  </si>
  <si>
    <t xml:space="preserve">@brunarotta_</t>
  </si>
  <si>
    <t xml:space="preserve">Bruna Rotta</t>
  </si>
  <si>
    <t xml:space="preserve">Balneário Camboriú: bio, 6 post(s) marcados</t>
  </si>
  <si>
    <t xml:space="preserve">Balneário Camboriú (5), São Paulo, Brazil (1), Balneário Camboriú - SC (1)</t>
  </si>
  <si>
    <t xml:space="preserve">Balneário Camboriú, SC 🇧🇷 / publicidades: [e-mail na bio] / @growthsupplements cupom BRUNAROTTA</t>
  </si>
  <si>
    <t xml:space="preserve">https://instagram.com/brunarotta_</t>
  </si>
  <si>
    <t xml:space="preserve">@letsbalneario</t>
  </si>
  <si>
    <t xml:space="preserve">Lets Balneário - Nelson e Bru</t>
  </si>
  <si>
    <t xml:space="preserve">Casal</t>
  </si>
  <si>
    <t xml:space="preserve">Gastronomia, Viagem, Dicas locais</t>
  </si>
  <si>
    <t xml:space="preserve">Balneário Camboriú: 5 post(s) marcados; Itapema: 1 post(s) marcados</t>
  </si>
  <si>
    <t xml:space="preserve">Balneário Camboriú (5), Meia Praia, Itapema (1)</t>
  </si>
  <si>
    <t xml:space="preserve">🏖️Te mostramos o que fazer em Santa Catarina. / ⭐️Apareça aqui! Chama no DIRECT.  / 🚀1 MILHÃO de seguidores somando as redes. / 🤔 Já apertou em Seguir??? ⤵️</t>
  </si>
  <si>
    <t xml:space="preserve">https://instagram.com/letsbalneario</t>
  </si>
  <si>
    <t xml:space="preserve">@blogueiracamilar</t>
  </si>
  <si>
    <t xml:space="preserve">CAMILA G RAMOS</t>
  </si>
  <si>
    <t xml:space="preserve">Beleza, Moda, Negócios e empreendedorismo</t>
  </si>
  <si>
    <t xml:space="preserve">Balneário Camboriú: bio</t>
  </si>
  <si>
    <t xml:space="preserve">Teatro Dionísio (1), Las Vegas, Nevada (1), São Paulo, Brazil (1)</t>
  </si>
  <si>
    <t xml:space="preserve">Moda, Perfumes, Mkt de Influência / ✨ Entre fragrâncias, tendências e looks / Fundadora @agencyinspira / Balneário Camboriú</t>
  </si>
  <si>
    <t xml:space="preserve">https://instagram.com/blogueiracamilar</t>
  </si>
  <si>
    <t xml:space="preserve">@_balneario_camboriu</t>
  </si>
  <si>
    <t xml:space="preserve">𝑨 𝑫𝒖𝒃𝒂𝒊 𝑩𝒓𝒂𝒔𝒊𝒍𝒆𝒊𝒓𝒂 🇧🇷®️</t>
  </si>
  <si>
    <t xml:space="preserve">Balneário Camboriú: 11 post(s) marcados</t>
  </si>
  <si>
    <t xml:space="preserve">Balneário Camboriú (10), Balneário Camboriú - SC - A Dubai Brasileira (1)</t>
  </si>
  <si>
    <t xml:space="preserve">https://instagram.com/_balneario_camboriu</t>
  </si>
  <si>
    <t xml:space="preserve">@bccity_</t>
  </si>
  <si>
    <t xml:space="preserve">BC City</t>
  </si>
  <si>
    <t xml:space="preserve">Balneário Camboriú: bio, 8 post(s) marcados; Camboriú: 1 post(s) marcados</t>
  </si>
  <si>
    <t xml:space="preserve">Balneário Camboriú (7), Parque Unipraias Camboriú (1), Balneário Camboriú - SC (1)</t>
  </si>
  <si>
    <t xml:space="preserve">Balneário Camboriú 🇧🇷  / Parcerias Direct📲 Use#bccity</t>
  </si>
  <si>
    <t xml:space="preserve">https://instagram.com/bccity_</t>
  </si>
  <si>
    <t xml:space="preserve">@balneariocamboriuemfocoo</t>
  </si>
  <si>
    <t xml:space="preserve">Balneário Camboriú em foco</t>
  </si>
  <si>
    <t xml:space="preserve">Balneário Camboriú: bio, 5 post(s) marcados</t>
  </si>
  <si>
    <t xml:space="preserve">Balneário Camboriú (5), Navegantes, Santa Catarina, Brasil (1)</t>
  </si>
  <si>
    <t xml:space="preserve">Balneário Camboriú  🏠📍🏖️ / A única Pagina que mostra tudo sobre Balneário Camboriú. / Melhor cidade do Brasil 🇧🇷  / PARCERIAS NO DIRECT.</t>
  </si>
  <si>
    <t xml:space="preserve">https://instagram.com/balneariocamboriuemfocoo</t>
  </si>
  <si>
    <t xml:space="preserve">@kcrespi</t>
  </si>
  <si>
    <t xml:space="preserve">Ketlyn Crespi Haag</t>
  </si>
  <si>
    <t xml:space="preserve">Lifestyle, Moda, Família e maternidade</t>
  </si>
  <si>
    <t xml:space="preserve">Balneário Camboriú: 6 post(s) marcados; Itapema: 2 post(s) marcados</t>
  </si>
  <si>
    <t xml:space="preserve">Balneário Camboriú (6), Santa Catarina (4), Itapema, Brazil (2)</t>
  </si>
  <si>
    <t xml:space="preserve">🇺🇸 • 🇧🇷  / Fashion | Lifestyle l Mom  / 𝑔𝑜𝒹 𝒾𝓈 𝑔𝑜𝑜𝒹 - Sl 91   / 💌 [e-mail na bio]</t>
  </si>
  <si>
    <t xml:space="preserve">https://instagram.com/kcrespi</t>
  </si>
  <si>
    <t xml:space="preserve">@maduwebberr</t>
  </si>
  <si>
    <t xml:space="preserve">Influencer digital Santa Catarina e Rio Grande do Sul</t>
  </si>
  <si>
    <t xml:space="preserve">Balneário Camboriú: 1 post(s) marcados</t>
  </si>
  <si>
    <t xml:space="preserve">Balneário Camboriú - SC (1)</t>
  </si>
  <si>
    <t xml:space="preserve">RS e SC Vida real sem filtro! 💖 / • Divulgações de empresas 🏆 / • embaixadora @usedivaslim / • Maquidora @studiomaduwebber</t>
  </si>
  <si>
    <t xml:space="preserve">https://instagram.com/maduwebberr</t>
  </si>
  <si>
    <t xml:space="preserve">@ondeirbc</t>
  </si>
  <si>
    <t xml:space="preserve">Mell - Onde ir Balneário Camboriú</t>
  </si>
  <si>
    <t xml:space="preserve">Gastronomia, Dicas locais</t>
  </si>
  <si>
    <t xml:space="preserve">Balneário Camboriú: 2 post(s) marcados; Itajaí: 1 post(s) marcados</t>
  </si>
  <si>
    <t xml:space="preserve">Balneário Camboriú (2), Itajaí (1)</t>
  </si>
  <si>
    <t xml:space="preserve">🙋🏻‍♀️Sou a Mell! Falo tudo que você precisa saber antes de entrar num restaurante! / 🏅Referência em dicas desde 2016 / 💌Parcerias link bio ou direct</t>
  </si>
  <si>
    <t xml:space="preserve">https://instagram.com/ondeirbc</t>
  </si>
  <si>
    <t xml:space="preserve">@lugaresdebc</t>
  </si>
  <si>
    <t xml:space="preserve">Balneário Camboriú: O que fazer - Blog Local Connect</t>
  </si>
  <si>
    <t xml:space="preserve">Dicas locais, Viagem, Gastronomia, Entretenimento e humor</t>
  </si>
  <si>
    <t xml:space="preserve">Balneário Camboriú - SC (5), Beto Carrero World, Penha - Santa Catarina (2)</t>
  </si>
  <si>
    <t xml:space="preserve">📍O que fazer em Balneário Camboriú / 🏖️ Praias • 🌳 Passeios • 🍝 Gastronomia • 🎟️ Eventos • 🗺️ Roteiros e dicas / 👇 Ingressos com Desconto</t>
  </si>
  <si>
    <t xml:space="preserve">https://instagram.com/lugaresdebc</t>
  </si>
  <si>
    <t xml:space="preserve">@coisasquecomo</t>
  </si>
  <si>
    <t xml:space="preserve">Tábata (Coisas Que Como)</t>
  </si>
  <si>
    <t xml:space="preserve">@superkochoficial, @lojaskoerich</t>
  </si>
  <si>
    <t xml:space="preserve">Gastronomia, Entretenimento e humor, Casa e organização</t>
  </si>
  <si>
    <t xml:space="preserve">Itajaí: bio, 2 post(s) marcados; Balneário Camboriú: bio, 3 post(s) marcados</t>
  </si>
  <si>
    <t xml:space="preserve">Balneário Camboriú (3), Itajaí (2), Beto Carrero World (1)</t>
  </si>
  <si>
    <t xml:space="preserve">👩‍🍳 Tábata, Cozinheira Profissional fazendo reviews de restaurantes e receitas com humor / 📍Balneário Camboriú, Itajaí e por SC</t>
  </si>
  <si>
    <t xml:space="preserve">https://instagram.com/coisasquecomo</t>
  </si>
  <si>
    <t xml:space="preserve">@eucarolinaalbuquerque</t>
  </si>
  <si>
    <t xml:space="preserve">Carolina Albuquerque</t>
  </si>
  <si>
    <t xml:space="preserve">Gastronomia, Lifestyle, Negócios e empreendedorismo</t>
  </si>
  <si>
    <t xml:space="preserve">Balneário Camboriú: 3 post(s) marcados; Itajaí: 1 post(s) marcados</t>
  </si>
  <si>
    <t xml:space="preserve">Balneário Camboriú (3), Buenos Aires, Argentina (1), Puerto Madero (1), Praia Brava - Itajaí SC (1)</t>
  </si>
  <si>
    <t xml:space="preserve">Minha rotina: Experiências, Jesus, Receitas &amp; muito Café ☕️ / Do Direito para as telas: influenciadora e empresária @aurahclube 🪐🤎</t>
  </si>
  <si>
    <t xml:space="preserve">https://instagram.com/eucarolinaalbuquerque</t>
  </si>
  <si>
    <t xml:space="preserve">@paulafpaiva</t>
  </si>
  <si>
    <t xml:space="preserve">Paula Paiva</t>
  </si>
  <si>
    <t xml:space="preserve">@desincha, @desincoffee, @super.nutrition</t>
  </si>
  <si>
    <t xml:space="preserve">Balneário Camboriú: 9 post(s) marcados</t>
  </si>
  <si>
    <t xml:space="preserve">Balneário Camboriú (9)</t>
  </si>
  <si>
    <t xml:space="preserve">-36kg | Moébius | vida real | 💌 [e-mail na bio] / 🏷️ PAIVA: @gocasebr  / 🏷️ PAULAPAIVA: @desincha @mafit_ @mexidonabrasil  / links/cupons👇🏻</t>
  </si>
  <si>
    <t xml:space="preserve">https://instagram.com/paulafpaiva</t>
  </si>
  <si>
    <t xml:space="preserve">@leidy_knowles</t>
  </si>
  <si>
    <t xml:space="preserve">Olívia Knowles | Lifestyle Feminino</t>
  </si>
  <si>
    <t xml:space="preserve">Fitness e wellness, Moda, Viagem, Lifestyle</t>
  </si>
  <si>
    <t xml:space="preserve">Balneário Camboriú: bio, 8 post(s) marcados</t>
  </si>
  <si>
    <t xml:space="preserve">Balneário Camboriú (7), Beira Mar De Balneario Camboriu - Sc (1), Santa Catarina, Brasil (1)</t>
  </si>
  <si>
    <t xml:space="preserve">Apaixonada por viagens e cafés ☕️  / Autocuidado e estilo de vida saudável 🧘‍♀️  / Criando a vida que sempre sonhei 🤎 / 📍Balneário Camboriú</t>
  </si>
  <si>
    <t xml:space="preserve">https://instagram.com/leidy_knowles</t>
  </si>
  <si>
    <t xml:space="preserve">@rolezandoembcc</t>
  </si>
  <si>
    <t xml:space="preserve">Rolezando em balneario</t>
  </si>
  <si>
    <t xml:space="preserve">Balneário Camboriú: 3 post(s) marcados</t>
  </si>
  <si>
    <t xml:space="preserve">Balneário Camboriú (3)</t>
  </si>
  <si>
    <t xml:space="preserve">📍Dicas do que há de melhor em balneário!  / Parcerias [telefone na bio]</t>
  </si>
  <si>
    <t xml:space="preserve">https://instagram.com/rolezandoembcc</t>
  </si>
  <si>
    <t xml:space="preserve">@nicoleborsatto</t>
  </si>
  <si>
    <t xml:space="preserve">Nicole Borsatto Antunes</t>
  </si>
  <si>
    <t xml:space="preserve">Moda, UGC, Negócios e empreendedorismo, Entretenimento e humor</t>
  </si>
  <si>
    <t xml:space="preserve">Balneário Camboriú: 2 post(s) marcados</t>
  </si>
  <si>
    <t xml:space="preserve">Balneário Camboriú (2), Greenvalley (1), Acampamento Farroupilha - Parque Harmonia (1), Arena do Grêmio (1)</t>
  </si>
  <si>
    <t xml:space="preserve">• Influencer de moda &amp; Empresária • / • Provadores | Campanhas | Conteúdo para marcas / • Coidealizadora &amp; Marketing @ranchoassador</t>
  </si>
  <si>
    <t xml:space="preserve">https://instagram.com/nicoleborsatto</t>
  </si>
  <si>
    <t xml:space="preserve">@gabrielabrenda_</t>
  </si>
  <si>
    <t xml:space="preserve">GABRIELA BRENDA 𓃮</t>
  </si>
  <si>
    <t xml:space="preserve">Família e maternidade, Fitness e wellness</t>
  </si>
  <si>
    <t xml:space="preserve">Filha do Deus vivo || Balneário Camboriú 🏇 / • Advogada • Unfiltered • Fitness • Bem-estar / ✨  Biomedicina 🎓</t>
  </si>
  <si>
    <t xml:space="preserve">https://instagram.com/gabrielabrenda_</t>
  </si>
  <si>
    <t xml:space="preserve">@dra.alynnegalindo</t>
  </si>
  <si>
    <t xml:space="preserve">Dra Alynne Galindo - Ginecologista em Balneário Camboriú</t>
  </si>
  <si>
    <t xml:space="preserve">Casa e organização, Educação e conhecimento</t>
  </si>
  <si>
    <t xml:space="preserve">Balneário Camboriú: 8 post(s) marcados</t>
  </si>
  <si>
    <t xml:space="preserve">Balneário Camboriú (8)</t>
  </si>
  <si>
    <t xml:space="preserve">👩‍⚕️Saúde da Mulher e Autoestima  / 🦋Estética e Cirurgia Íntima • Laser • Menopausa / 📲 [telefone na bio] / CRM: 17276 | RQE: 12391</t>
  </si>
  <si>
    <t xml:space="preserve">https://instagram.com/dra.alynnegalindo</t>
  </si>
  <si>
    <t xml:space="preserve">@karina_smaniotto</t>
  </si>
  <si>
    <t xml:space="preserve">KARINA SMANIOTTO | Corretora e Mentora</t>
  </si>
  <si>
    <t xml:space="preserve">Negócios e empreendedorismo, Educação e conhecimento</t>
  </si>
  <si>
    <t xml:space="preserve">Balneário Camboriú: 4 post(s) marcados</t>
  </si>
  <si>
    <t xml:space="preserve">Balneário Camboriú (4), A I Livraria (1)</t>
  </si>
  <si>
    <t xml:space="preserve">🏆 Tricampeã Melhor Corretora do Sul do BR / 🤝 Embaixadora @dwvapp | @housioficial  / 👠 Criadora do @mulhertambemvende  / 🇺🇸 Vendo casas na Disney / 📈 15824F</t>
  </si>
  <si>
    <t xml:space="preserve">https://instagram.com/karina_smaniotto</t>
  </si>
  <si>
    <t xml:space="preserve">@alanazandonai</t>
  </si>
  <si>
    <t xml:space="preserve">Alana Zandonai</t>
  </si>
  <si>
    <t xml:space="preserve">Viagem, Lifestyle</t>
  </si>
  <si>
    <t xml:space="preserve">Architectural Designer</t>
  </si>
  <si>
    <t xml:space="preserve">Balneário Camboriú: bio, 3 post(s) marcados</t>
  </si>
  <si>
    <t xml:space="preserve">Jaguariúna Rodeo Festival (4), Balneário Camboriú (3), Aeroporto Internacional de Viracopos (1), Valle Nevado Chile (1)</t>
  </si>
  <si>
    <t xml:space="preserve">📍Paranaense morando em Balneário Camboriú  / 🇧🇷🇵🇾🇦🇷🇫🇷🇮🇪🇵🇹🇺🇸🇵🇪🇨🇦🇨🇱 / 🇮🇹Ítalo-brasileira  / 👷🏻‍♀️Architecture @solttz.br | Travel @globalive_ | Lifestyle</t>
  </si>
  <si>
    <t xml:space="preserve">https://instagram.com/alanazandonai</t>
  </si>
  <si>
    <t xml:space="preserve">@balneariomilgrau_</t>
  </si>
  <si>
    <t xml:space="preserve">Balneário Camboriú Mil Grau 😎</t>
  </si>
  <si>
    <t xml:space="preserve">Itajaí: 1 post(s) marcados; Balneário Camboriú: 9 post(s) marcados</t>
  </si>
  <si>
    <t xml:space="preserve">Balneário Camboriú (8), Itajaí (1), Roda Gigante Balneário Camboriú (1), Brasil (1)</t>
  </si>
  <si>
    <t xml:space="preserve">🔰PÁGINA OFICIAL | 2019 / ⚠️ Conta Reserva @balneariomilgrau_reserva / 📢 Quer anunciar sua empresa:chama direct. / 📍Marque @balneariomilgrau_ nos stories.</t>
  </si>
  <si>
    <t xml:space="preserve">https://instagram.com/balneariomilgrau_</t>
  </si>
  <si>
    <t xml:space="preserve">@fabioframeup</t>
  </si>
  <si>
    <t xml:space="preserve">Fábio Ferreira</t>
  </si>
  <si>
    <t xml:space="preserve">Desert Safari (4), Autódromo Potenza (2), Balneário Camboriú - SC - A Dubai Brasileira (1), Emirados Arabes Abu Dahbi (1)</t>
  </si>
  <si>
    <t xml:space="preserve">Se for viver, deixe um legado… faça uma marca no mundo que não possa ser apagada! @frameupjf @solucoesaereas @passocinco @gruponetworkjf</t>
  </si>
  <si>
    <t xml:space="preserve">https://instagram.com/fabioframeup</t>
  </si>
  <si>
    <t xml:space="preserve">@bcemfotos</t>
  </si>
  <si>
    <t xml:space="preserve">📸BC - ITAPEMA📸</t>
  </si>
  <si>
    <t xml:space="preserve">Blogger</t>
  </si>
  <si>
    <t xml:space="preserve">Balneário Camboriú: bio, 6 post(s) marcados; Itapema: bio</t>
  </si>
  <si>
    <t xml:space="preserve">Balneário Camboriú (6), Beto Carrero World (1)</t>
  </si>
  <si>
    <t xml:space="preserve">📸 • Fotos de BC, itapema e região  / 🏝 • Balneário Camboriú / Itapema  / 😉 • Dicas e Lugares / 💼 • Contato / Publicidade - Direct</t>
  </si>
  <si>
    <t xml:space="preserve">https://instagram.com/bcemfotos</t>
  </si>
  <si>
    <t xml:space="preserve">@letiiciaramosss</t>
  </si>
  <si>
    <t xml:space="preserve">Leticia Ramos</t>
  </si>
  <si>
    <t xml:space="preserve">Fitness e wellness, Entretenimento e humor, Lifestyle, Família e maternidade</t>
  </si>
  <si>
    <t xml:space="preserve">Camboriú: 1 post(s) marcados; Balneário Camboriú: 2 post(s) marcados</t>
  </si>
  <si>
    <t xml:space="preserve">Balneário Camboriú (2), Camboriú-SC (1), Píer Turístico de Porto Belo (1)</t>
  </si>
  <si>
    <t xml:space="preserve">🏃‍♀️ Corredora / 🔓 5km | 🔓 8km | 🔓 10km / 🤱 Maternidade real, Rotina &amp; Humor / 💪 Fitness &amp; Motivação / 📩 Parcerias: chame no direct</t>
  </si>
  <si>
    <t xml:space="preserve">https://instagram.com/letiiciaramosss</t>
  </si>
  <si>
    <t xml:space="preserve">@paulinhocatarina</t>
  </si>
  <si>
    <t xml:space="preserve">Paulinho Catarina 👨‍💻</t>
  </si>
  <si>
    <t xml:space="preserve">Balneário Camboriú (2), Ariri - Cananeia SP (1), Sepultura - Bombinhas - SC (1), Av. Atlântica - Balneário Camboriú/sc (1)</t>
  </si>
  <si>
    <t xml:space="preserve">👷🏼‍♂️ Production Engineer / ⚓️ @imperiumnautica  / ⚓️ @netunocotas.bc  / 🚗 @lavegobc  / 🔮 @tarot.cartasonline</t>
  </si>
  <si>
    <t xml:space="preserve">https://instagram.com/paulinhocatarina</t>
  </si>
  <si>
    <t xml:space="preserve">@scorphousebc</t>
  </si>
  <si>
    <t xml:space="preserve">Scorp House - Balneário Camboriú</t>
  </si>
  <si>
    <t xml:space="preserve">Balneário Camboriú: bio, 1 post(s) marcados</t>
  </si>
  <si>
    <t xml:space="preserve">Balneário Camboriú (1)</t>
  </si>
  <si>
    <t xml:space="preserve">🟣Sejam bem-vindos a ScorpHouse‼️ / 🟣Balneário Camboriú - SC / 🟣A mansão de Influencers mais luxuosa que vc já viu! / 👇Deposite e ganhe 300% de Bônus👇🔞</t>
  </si>
  <si>
    <t xml:space="preserve">https://instagram.com/scorphousebc</t>
  </si>
  <si>
    <t xml:space="preserve">@vivipotrich</t>
  </si>
  <si>
    <t xml:space="preserve">Vivi Potrich | Massoterapeuta</t>
  </si>
  <si>
    <t xml:space="preserve">Balneário Camboriú: bio, 6 post(s) marcados; Itajaí: 1 post(s) marcados</t>
  </si>
  <si>
    <t xml:space="preserve">Balneário Camboriú - SC (4), Cabeçudas Beach, Itajaí SC (1), Wave Academia - Barra Sul (1), Balneário Camboriú (1)</t>
  </si>
  <si>
    <t xml:space="preserve">💆‍♀️Massoterapeuta  / 🤍@vivahbeleza_ebemestar / 👩‍🎓Estudante de Biomedicina  / 📍Balneário Camboriú SC  / 🌿Toque terapêutico com amor:clique no link  ⤵️</t>
  </si>
  <si>
    <t xml:space="preserve">https://instagram.com/vivipotrich</t>
  </si>
  <si>
    <t xml:space="preserve">@matheus_ramosc</t>
  </si>
  <si>
    <t xml:space="preserve">𝗠𝗔𝗧𝗛𝗘𝗨𝗦 𝗥𝗔𝗠𝗢𝗦 | Mechas &amp; Visagismo</t>
  </si>
  <si>
    <t xml:space="preserve">Balneário Camboriú: bio, 7 post(s) marcados</t>
  </si>
  <si>
    <t xml:space="preserve">Balneário Camboriú (7), Ramos Concept Hair (1), Transamerica Expo Center (1)</t>
  </si>
  <si>
    <t xml:space="preserve">𝙃𝙖𝙞𝙧 𝘼𝙧𝙩𝙞𝙨𝙩 &amp; 𝙑𝙞𝙨𝙖𝙜𝙞𝙨𝙩𝙖 / 📍Balneário Camboriú | SC / 🔘Revelo identidade e Poder através da beleza,Transformações  que unem emoção + técnica. / AGENDAMENTO⬇️</t>
  </si>
  <si>
    <t xml:space="preserve">https://instagram.com/matheus_ramosc</t>
  </si>
  <si>
    <t xml:space="preserve">@annarafaellanogueira</t>
  </si>
  <si>
    <t xml:space="preserve">Anna Rafaella</t>
  </si>
  <si>
    <t xml:space="preserve">Beleza, Lifestyle, Moda</t>
  </si>
  <si>
    <t xml:space="preserve">Balneario Camboriu, SC, Brazil (3), O Pharol (1), Centro, Florianópolis (1), Praia da Joaquina - Florianópolis (1)</t>
  </si>
  <si>
    <t xml:space="preserve">💫 Criando beleza nos detalhes / 📍 Balneário Camboriú / 🎀 Lifestyle | moda | experiências / 💌 Parcerias no direc</t>
  </si>
  <si>
    <t xml:space="preserve">https://instagram.com/annarafaellanogueira</t>
  </si>
  <si>
    <t xml:space="preserve">@balneariocamboriubr</t>
  </si>
  <si>
    <t xml:space="preserve">BALNEÁRIO CAMBORIÚ 🇧🇷</t>
  </si>
  <si>
    <t xml:space="preserve">Balneário Camboriú: bio, 6 post(s) marcados; Camboriú: bio</t>
  </si>
  <si>
    <t xml:space="preserve">Balneário Camboriú (5), Balneário Camboriú - SC - A Dubai Brasileira (1)</t>
  </si>
  <si>
    <t xml:space="preserve">🎡🏖️🌊BALNEÁRIO CAMBORIÚ BR🌊🏖️🎡 /                 🛩 ☀ ☁     🚁          /  📸       🐬  🏖️🌊🏄🐬 / Tiktok 👇 / balneariocamboriubrasil</t>
  </si>
  <si>
    <t xml:space="preserve">https://instagram.com/balneariocamboriubr</t>
  </si>
  <si>
    <t xml:space="preserve">@lucianomastria</t>
  </si>
  <si>
    <t xml:space="preserve">Luciano Mastria  /  Noivas + loiros + maquiagem</t>
  </si>
  <si>
    <t xml:space="preserve">Beleza, Relacionamento, Moda</t>
  </si>
  <si>
    <t xml:space="preserve">Artist</t>
  </si>
  <si>
    <t xml:space="preserve">Balneário Camboriú (2)</t>
  </si>
  <si>
    <t xml:space="preserve">INTERNATIONAL BEAUTY ARTIST 🌎 / NOIVAS • MAKEUP • HAIR / MECHAS • COR • CORTES / ⚡ CREATOR OF EASYBEAUTY / 💄 EASYBEAUTY AUTOMAKEUP / ⬇️ BRIDE’S NEWS ⬇️</t>
  </si>
  <si>
    <t xml:space="preserve">https://instagram.com/lucianomastria</t>
  </si>
  <si>
    <t xml:space="preserve">@lidianyazevedocantora</t>
  </si>
  <si>
    <t xml:space="preserve">Lidiany Azevedo</t>
  </si>
  <si>
    <t xml:space="preserve">Entretenimento e humor, Gastronomia</t>
  </si>
  <si>
    <t xml:space="preserve">Musician/band</t>
  </si>
  <si>
    <t xml:space="preserve">Balneário Camboriú: 5 post(s) marcados; Itajaí: 1 post(s) marcados</t>
  </si>
  <si>
    <t xml:space="preserve">Balneário Camboriú - SC (2), Balneário Camboriú (2), Itajaí -SC (1), Balneario Camboriu, SC, Brazil (1)</t>
  </si>
  <si>
    <t xml:space="preserve">CANTORA🎙️ / 💍 / Deus na frente  / 🇧🇷🇵🇹🇺🇾🇪🇸🇧🇪✈️ / Hoje a capivara morde a boca da garrucha🤠  / @azevedosbrand_ / @tempoatempo.gv</t>
  </si>
  <si>
    <t xml:space="preserve">https://instagram.com/lidianyazevedocantora</t>
  </si>
  <si>
    <t xml:space="preserve">@visitebceregiao</t>
  </si>
  <si>
    <t xml:space="preserve">Visite BC e Região Costa Verde &amp; Mar</t>
  </si>
  <si>
    <t xml:space="preserve">Viagem, Família e maternidade</t>
  </si>
  <si>
    <t xml:space="preserve">Balneário Camboriú (5)</t>
  </si>
  <si>
    <t xml:space="preserve">🌍 Bem-Vindos a Balneário Camboriú e Região Costa Verde &amp; Mar / 🔹As informações que você precisa para nos visitar! ⬇️⬇️</t>
  </si>
  <si>
    <t xml:space="preserve">https://instagram.com/visitebceregiao</t>
  </si>
  <si>
    <t xml:space="preserve">@ovendedorderua</t>
  </si>
  <si>
    <t xml:space="preserve">O Vendedor de Rua | Paulo Farias</t>
  </si>
  <si>
    <t xml:space="preserve">Gastronomia, Família e maternidade</t>
  </si>
  <si>
    <t xml:space="preserve">Balneário Camboriú: 10 post(s) marcados</t>
  </si>
  <si>
    <t xml:space="preserve">Balneário Camboriú (10)</t>
  </si>
  <si>
    <t xml:space="preserve">https://instagram.com/ovendedorderua</t>
  </si>
  <si>
    <t xml:space="preserve">@andresonlindemberg</t>
  </si>
  <si>
    <t xml:space="preserve">Andreson Lindemberg | Cabeleireiro Maquiador-Balneário Camboriú</t>
  </si>
  <si>
    <t xml:space="preserve">Beleza, Dicas locais</t>
  </si>
  <si>
    <t xml:space="preserve">Beauty Shop Cabeleireiros (4), Joinville, Santa Catarina, Brazil (2), Santa Catarina - Blumenau (1), Balneário Camboriú (1)</t>
  </si>
  <si>
    <t xml:space="preserve">✈️ Disp.Int/Nac | Agenda aberta / • Especialista em Prod. de Misses 👑 | 50+ títulos nac &amp; int / • Expert em loiros /+3.000 atendimentos / • 3xPremiado SC/BR</t>
  </si>
  <si>
    <t xml:space="preserve">https://instagram.com/andresonlindemberg</t>
  </si>
  <si>
    <t xml:space="preserve">@guilhermefiguero</t>
  </si>
  <si>
    <t xml:space="preserve">Guilherme Figueró</t>
  </si>
  <si>
    <t xml:space="preserve">Balneário Camboriú (2), FIFA World Cup (1), Academia Wave (1)</t>
  </si>
  <si>
    <t xml:space="preserve">Personal Trainer 🔪💀 / @academiawave há 20 anos / Assessoria Esportiva TEAM @netoscardovelli / Longevidade Biomecânica  / Amazon Marketplace Seller 💼</t>
  </si>
  <si>
    <t xml:space="preserve">https://instagram.com/guilhermefiguero</t>
  </si>
  <si>
    <t xml:space="preserve">@jessica.santtosp</t>
  </si>
  <si>
    <t xml:space="preserve">Jéssica Santos</t>
  </si>
  <si>
    <t xml:space="preserve">Green Valley (1), Balneário Camboriú (1)</t>
  </si>
  <si>
    <t xml:space="preserve">🎙️LIVE SELLER  / 📈 Ajudo marcas a venderem mais com lives e conteúdos que convertem. / 🎯 Criadora do método LIVE PRO  / + de 1000 lives</t>
  </si>
  <si>
    <t xml:space="preserve">https://instagram.com/jessica.santtosp</t>
  </si>
  <si>
    <t xml:space="preserve">@brunafarias.93</t>
  </si>
  <si>
    <t xml:space="preserve">Bruna Santos</t>
  </si>
  <si>
    <t xml:space="preserve">Educação e conhecimento, Relacionamento</t>
  </si>
  <si>
    <t xml:space="preserve">Balneário Shopping (1), Balneário Camboriú (1)</t>
  </si>
  <si>
    <t xml:space="preserve">📍| Balneário Camboriú   / 🎓| Psicoterapeuta / 🎥| +de 10M de views no tiktok / 🔥| +de 20M de Views no Geral / 🚀| Parcerias via WhatsApp</t>
  </si>
  <si>
    <t xml:space="preserve">https://instagram.com/brunafarias.93</t>
  </si>
  <si>
    <t xml:space="preserve">@jordanamedeirosb</t>
  </si>
  <si>
    <t xml:space="preserve">JORDANA MEDEIROS | Comunicação para Líderes</t>
  </si>
  <si>
    <t xml:space="preserve">Balneário Camboriú: 6 post(s) marcados</t>
  </si>
  <si>
    <t xml:space="preserve">Balneário Camboriú (6), Tubarão (1)</t>
  </si>
  <si>
    <t xml:space="preserve">Te ensino a potencializar sua voz de LÍDER! / Há quase 10 anos na área | Uma vida nos palcos / Formação em Comunicação e Oratória / ⬇️ PRÓXIMA TURMA 📍BC</t>
  </si>
  <si>
    <t xml:space="preserve">https://instagram.com/jordanamedeirosb</t>
  </si>
  <si>
    <t xml:space="preserve">@thiagohlopes.treinador</t>
  </si>
  <si>
    <t xml:space="preserve">Thiago Henrique • Entrenador Personal 🇪🇸</t>
  </si>
  <si>
    <t xml:space="preserve">Fitness e wellness, Educação e conhecimento</t>
  </si>
  <si>
    <t xml:space="preserve">Campo Grande, MS (1), Governador Celso Ramos (1), Juistreet Complexo (1), Balneário Camboriú (1)</t>
  </si>
  <si>
    <t xml:space="preserve">🏋️‍♀️ + de 50 alunas tiveram resultados e aprenderam a treinar com minha metodologia de treino e meu trabalho de Personal Trainer. / 📍SC / MS</t>
  </si>
  <si>
    <t xml:space="preserve">https://instagram.com/thiagohlopes.treinador</t>
  </si>
  <si>
    <t xml:space="preserve">@draamanda_rodrigues</t>
  </si>
  <si>
    <t xml:space="preserve">Amanda Ramos Rodrigues</t>
  </si>
  <si>
    <t xml:space="preserve">Balneário Camboriú (8), Greenvalley (1)</t>
  </si>
  <si>
    <t xml:space="preserve">Cirurgiã-dentista CRO/SC 15221  / A arte de criar sorrisos únicos 🎨🖌️✨ / 🦷 Lentes em resina e porcelanas / 🔩Implantodontista / 📍Balneário Camboriú - SC</t>
  </si>
  <si>
    <t xml:space="preserve">https://instagram.com/draamanda_rodrigues</t>
  </si>
  <si>
    <t xml:space="preserve">@diego7benassi</t>
  </si>
  <si>
    <t xml:space="preserve">Diego Benassi</t>
  </si>
  <si>
    <t xml:space="preserve">Balneário Camboriú: 5 post(s) marcados</t>
  </si>
  <si>
    <t xml:space="preserve">Balneario Camboriu, SC, Brazil (4), Balneário Camboriú (1)</t>
  </si>
  <si>
    <t xml:space="preserve">🥇| O trabalho vence o talento. / 🥇| @inovafit_studiopersonalizado</t>
  </si>
  <si>
    <t xml:space="preserve">https://instagram.com/diego7benassi</t>
  </si>
  <si>
    <t xml:space="preserve">@vanessalesnieski</t>
  </si>
  <si>
    <t xml:space="preserve">Vanessa Cristhina</t>
  </si>
  <si>
    <t xml:space="preserve">Família e maternidade, Beleza</t>
  </si>
  <si>
    <t xml:space="preserve">Balneário Camboriú (6), Herval D'Oeste (2), Itamirim Clube de Campo (1)</t>
  </si>
  <si>
    <t xml:space="preserve">Conectada com vários mundos: / físico, digital, espiritual. / 💙 @gunther.rafael / 👶🏻 Mãe do @sethguntheroficial</t>
  </si>
  <si>
    <t xml:space="preserve">https://instagram.com/vanessalesnieski</t>
  </si>
  <si>
    <t xml:space="preserve">@abnerbernardes__</t>
  </si>
  <si>
    <t xml:space="preserve">Abner Luiz Bernardes | Runner</t>
  </si>
  <si>
    <t xml:space="preserve">Fitness e wellness, Negócios e empreendedorismo, Lifestyle, Educação e conhecimento</t>
  </si>
  <si>
    <t xml:space="preserve">Balneário Camboriú: 1 post(s) marcados; Itapema: 1 post(s) marcados</t>
  </si>
  <si>
    <t xml:space="preserve">Navegantes (3), Arena do Grêmio (1), Florianópolis, Santa Catarina (1), Balneário Camboriú (1)</t>
  </si>
  <si>
    <t xml:space="preserve">🏃🏼‍♂️Vivendo a corrida além da linha de chegada. / ⚡️Corrida-Lifestyle-Motivação / 📱Técnico celular/ vendas / 🏆@vipcellnavegantes / 🦈@jurandyrcouto / 💢CRVG</t>
  </si>
  <si>
    <t xml:space="preserve">https://instagram.com/abnerbernardes__</t>
  </si>
  <si>
    <t xml:space="preserve">@privieiraorganiza</t>
  </si>
  <si>
    <t xml:space="preserve">Priscila Vieira</t>
  </si>
  <si>
    <t xml:space="preserve">⏳ Organização com método e propósito / Mentorias, workshops e treinamentos personalizados.  / 📍De Balneário Camboriú para o Brasil / Cursos e Orçamentos 👇</t>
  </si>
  <si>
    <t xml:space="preserve">https://instagram.com/privieiraorganiza</t>
  </si>
  <si>
    <t xml:space="preserve">@giseleschmitt___</t>
  </si>
  <si>
    <t xml:space="preserve">Gisele Cristina Schmitt</t>
  </si>
  <si>
    <t xml:space="preserve">Educação e conhecimento, Fitness e wellness</t>
  </si>
  <si>
    <t xml:space="preserve">Paróquia São Sebastião de Balneário Camboriú (1), Balneário Camboriú - SC (1), Eqi Racket Club (1)</t>
  </si>
  <si>
    <t xml:space="preserve">•Treinamento de força / •Treinamento de alto rendimento  / •Psicologia esportiva  / •Preparadora física @cph.assessoria  / 🦄127ª Boston Marathon finisher</t>
  </si>
  <si>
    <t xml:space="preserve">https://instagram.com/giseleschmitt___</t>
  </si>
  <si>
    <t xml:space="preserve">@johnnycashogato</t>
  </si>
  <si>
    <t xml:space="preserve">Johnny Cash • Pet Influencer</t>
  </si>
  <si>
    <t xml:space="preserve">Pet</t>
  </si>
  <si>
    <t xml:space="preserve">@sheinofficial</t>
  </si>
  <si>
    <t xml:space="preserve">o gato mais gato de Balneário Camboriú   / ☁️ 6 anos • @thatynadhanyta   / 🦴 tenho 67 irmãos 🐈 e 4 🐕</t>
  </si>
  <si>
    <t xml:space="preserve">https://instagram.com/johnnycashogato</t>
  </si>
  <si>
    <t xml:space="preserve">@patriciasilvaorganizer</t>
  </si>
  <si>
    <t xml:space="preserve">PATRICIA SILVA | MUDANÇA BALNEÁRIO | PERSONAL ORGANIZER</t>
  </si>
  <si>
    <t xml:space="preserve">Casa e organização, Lifestyle, Educação e conhecimento</t>
  </si>
  <si>
    <t xml:space="preserve">Itajaí: 1 post(s) marcados; Balneário Camboriú: 7 post(s) marcados</t>
  </si>
  <si>
    <t xml:space="preserve">Balneário Camboriú (7), Praia Brava - Itajaí/SC (1)</t>
  </si>
  <si>
    <t xml:space="preserve">📦MUDANÇA BALNEÁRIO +6 ANOS / 🏠 ORGANIZO SUA MUDANÇA RESIDENCIAL DO INICIO AO FIM / “VIVA ESSA EXPERIÊNCIA COM A ORGANIZAÇÃO PROFISSIONAL” / ☎️WHATSAPP👇🏽</t>
  </si>
  <si>
    <t xml:space="preserve">https://instagram.com/patriciasilvaorganizer</t>
  </si>
  <si>
    <t xml:space="preserve">@balneariodicas</t>
  </si>
  <si>
    <t xml:space="preserve">Dicas em Balneário Camboriú e Santa Catarina</t>
  </si>
  <si>
    <t xml:space="preserve">Gastronomia, Negócios e empreendedorismo, Dicas locais</t>
  </si>
  <si>
    <t xml:space="preserve">Balneário Camboriú: bio, 3 post(s) marcados; Camboriú: 7 post(s) marcados</t>
  </si>
  <si>
    <t xml:space="preserve">Camboriú (7), Balneário Camboriú (2), Rodoviária de Balneário Camboriú (1)</t>
  </si>
  <si>
    <t xml:space="preserve">📍Aqui você encontra as melhores dicas de onde comer em BC e região. / 📥 Parcerias via direct ( Marketing Gastronômico especializado para empresas )</t>
  </si>
  <si>
    <t xml:space="preserve">https://instagram.com/balneariodicas</t>
  </si>
  <si>
    <t xml:space="preserve">@danymatiasbc</t>
  </si>
  <si>
    <t xml:space="preserve">Dany Matias</t>
  </si>
  <si>
    <t xml:space="preserve">Mamãe do Noah 🩵                                                              / 📍Balneário Camboriú  / 👇INSCREVA-SE NO MEU CANAL YOUTUBE</t>
  </si>
  <si>
    <t xml:space="preserve">https://instagram.com/danymatiasbc</t>
  </si>
  <si>
    <t xml:space="preserve">@deborahdz</t>
  </si>
  <si>
    <t xml:space="preserve">Deborah Dzierwa | Produtividade</t>
  </si>
  <si>
    <t xml:space="preserve">Casa e organização, Educação e conhecimento, Negócios e empreendedorismo</t>
  </si>
  <si>
    <t xml:space="preserve">🎯Te ajudo a dominar o tempo e organizar a vida com o método TAC. / ✍️Mentora | Palestrante| Escritora - 4 livros / 👇 Acesse seu plano produtivo.</t>
  </si>
  <si>
    <t xml:space="preserve">https://instagram.com/deborahdz</t>
  </si>
  <si>
    <t xml:space="preserve">@andreiamazzochi_</t>
  </si>
  <si>
    <t xml:space="preserve">Andreia Mazzochi | DJ</t>
  </si>
  <si>
    <t xml:space="preserve">Entretenimento e humor, Viagem, Relacionamento</t>
  </si>
  <si>
    <t xml:space="preserve">Ibiza, Spain (3), Praia Do Rosa, SC (1), Cala Gonone Sardinia (1), UNVRS (1)</t>
  </si>
  <si>
    <t xml:space="preserve">🔸@andreiaconsultoraimobiliaria / 🔸A/M  @andreiamazzochistore_                     / 🔸Dj 🎧 𝑆𝐶  / 🔸Soundcloud:Mazzochi / 🔸@agenda_sc / 🔸@iron.vizsla</t>
  </si>
  <si>
    <t xml:space="preserve">https://instagram.com/andreiamazzochi_</t>
  </si>
  <si>
    <t xml:space="preserve">@jazminnnavarro</t>
  </si>
  <si>
    <t xml:space="preserve">Jazmín Navarro | BC</t>
  </si>
  <si>
    <t xml:space="preserve">Fitness e wellness, Gastronomia</t>
  </si>
  <si>
    <t xml:space="preserve">Balneário Camboriú: 12 post(s) marcados</t>
  </si>
  <si>
    <t xml:space="preserve">Balneário Camboriú - SC - A Dubai Brasileira (11), Balneário Camboriú (1)</t>
  </si>
  <si>
    <t xml:space="preserve">🇦🇷 viviendo en 🇧🇷 / 16k en tik tok</t>
  </si>
  <si>
    <t xml:space="preserve">https://instagram.com/jazminnnavarro</t>
  </si>
  <si>
    <t xml:space="preserve">@correbc</t>
  </si>
  <si>
    <t xml:space="preserve">CORRE BC</t>
  </si>
  <si>
    <t xml:space="preserve">corredores de Balneário Camboriú / marque @correbc / criado e adm por @ironaccessbrasil</t>
  </si>
  <si>
    <t xml:space="preserve">https://instagram.com/correbc</t>
  </si>
  <si>
    <t xml:space="preserve">@maira_l.c</t>
  </si>
  <si>
    <t xml:space="preserve">Maira LC</t>
  </si>
  <si>
    <t xml:space="preserve">Dicas locais, Beleza</t>
  </si>
  <si>
    <t xml:space="preserve">Product/service</t>
  </si>
  <si>
    <t xml:space="preserve">Caçador- Santa Catarina (2), Balneário Camboriú (2), Rio Caçador, Santa Catarina, Brazil (1)</t>
  </si>
  <si>
    <t xml:space="preserve">🌟 Universo Feminino 🌟Dicas de Mulher para Mulher ✨Aqui celebramos a força, a beleza e a sabedoria feminina! 💪💖🌸 #MulheresUnidas #DicasFemininas</t>
  </si>
  <si>
    <t xml:space="preserve">https://instagram.com/maira_l.c</t>
  </si>
  <si>
    <t xml:space="preserve">@cris_kamph</t>
  </si>
  <si>
    <t xml:space="preserve">Florianópolis, Santa Catarina, Brasil (1), Balneário Camboriú (1)</t>
  </si>
  <si>
    <t xml:space="preserve">Abençoada por aquele que jamais falhou ✨🤍 / 📍SC / 💙 Gaúcha</t>
  </si>
  <si>
    <t xml:space="preserve">https://instagram.com/cris_kamph</t>
  </si>
  <si>
    <t xml:space="preserve">@paolopohlmann</t>
  </si>
  <si>
    <t xml:space="preserve">Paolo Pohlmann | Imóveis em Balneário Camboriú</t>
  </si>
  <si>
    <t xml:space="preserve">Finanças, Casa e organização</t>
  </si>
  <si>
    <t xml:space="preserve">Balneário Camboriú (6), Four Seasons Residencial (1), Santa Catarina, Brasil (1)</t>
  </si>
  <si>
    <t xml:space="preserve">🔑Construindo patrimônio e uma nova vida em SC. / 💎Mercado imobiliário, visão de BC e investimentos no litoral.  / 🏆Executive Club RE/MAX / CRECI 62316</t>
  </si>
  <si>
    <t xml:space="preserve">https://instagram.com/paolopohlmann</t>
  </si>
  <si>
    <t xml:space="preserve">@tatianatorresbb</t>
  </si>
  <si>
    <t xml:space="preserve">Tatiana Torres</t>
  </si>
  <si>
    <t xml:space="preserve">Balneário Camboriú (2), Balneário Camboriú - SC (1), Roddertown Balneário Camboriú (1), Pomerode - Pequena Alemanha (1)</t>
  </si>
  <si>
    <t xml:space="preserve">https://instagram.com/tatianatorresbb</t>
  </si>
  <si>
    <t xml:space="preserve">@personalmichaeldouglas</t>
  </si>
  <si>
    <t xml:space="preserve">MICHAEL DOUGLAS | Personal Trainer</t>
  </si>
  <si>
    <t xml:space="preserve">Balneário Camboriú (4)</t>
  </si>
  <si>
    <t xml:space="preserve">+ resultados na academia treinando menos e melhor / 🏋🏻 Intensidade e intenção / 📲 Presencial e online 👇🏼</t>
  </si>
  <si>
    <t xml:space="preserve">https://instagram.com/personalmichaeldouglas</t>
  </si>
  <si>
    <t xml:space="preserve">@paulagarciapersonal</t>
  </si>
  <si>
    <t xml:space="preserve">Paula Garcia | Equipe de Personal Trainer | Itapema | BC</t>
  </si>
  <si>
    <t xml:space="preserve">Balneário Camboriú: bio, 2 post(s) marcados; Itapema: bio</t>
  </si>
  <si>
    <t xml:space="preserve">Balneário Camboriú (2), Casa Branca, Cidade Brumadinho (1), Urubici - Serra Catarinense (1)</t>
  </si>
  <si>
    <t xml:space="preserve">📍Equipe de personal: Itapema e Balneário Camboriú / 🏋🏾‍♀️Especialista em treinamento de força  / 🏃🏾‍♀️Emagrecimento / 🎾Preparação física  / ➡️Reabilitação</t>
  </si>
  <si>
    <t xml:space="preserve">https://instagram.com/paulagarciapersonal</t>
  </si>
  <si>
    <t xml:space="preserve">@_camilaaltenhofen</t>
  </si>
  <si>
    <t xml:space="preserve">Camila Altenhofen</t>
  </si>
  <si>
    <t xml:space="preserve">Balneário Camboriú: 1 post(s) marcados; Itajaí: 1 post(s) marcados</t>
  </si>
  <si>
    <t xml:space="preserve">Itapiranga (1), Balneário Camboriú (1), Praia Brava - Itajaí/SC (1)</t>
  </si>
  <si>
    <t xml:space="preserve">Tudo é energia ✨ / Cirurgiã-Dentista @dracamilaaltenhofen</t>
  </si>
  <si>
    <t xml:space="preserve">https://instagram.com/_camilaaltenhofen</t>
  </si>
  <si>
    <t xml:space="preserve">@karen_personal96</t>
  </si>
  <si>
    <t xml:space="preserve">Karen Caldas / Personal Trainer BC</t>
  </si>
  <si>
    <t xml:space="preserve">Fitness e wellness, Negócios e empreendedorismo</t>
  </si>
  <si>
    <t xml:space="preserve">Balneário Camboriú (3), Academia Wave (3), Wave Personal Trainer (1)</t>
  </si>
  <si>
    <t xml:space="preserve">🎓 Personal Trainer; / 🚀 Consultoria On-line; / 🙏 Canal de Bençãos na vida das pessoas; / 👗Empreendedora : @kc_modas10</t>
  </si>
  <si>
    <t xml:space="preserve">https://instagram.com/karen_personal96</t>
  </si>
  <si>
    <t xml:space="preserve">@pippo_ramirez</t>
  </si>
  <si>
    <t xml:space="preserve">PiPPO</t>
  </si>
  <si>
    <t xml:space="preserve">Família e maternidade, Lifestyle</t>
  </si>
  <si>
    <t xml:space="preserve">Balneário Camboriú: 2 post(s) marcados; Camboriú: 2 post(s) marcados</t>
  </si>
  <si>
    <t xml:space="preserve">Balneário Camboriú - SC (2), Camboriú (2)</t>
  </si>
  <si>
    <t xml:space="preserve">🐶 PiPPO | dog influencer / ✨ Pequena no tamanho, gigante na personalidade / 🎀 Rotina, aventuras &amp; muita fofura / 📍 SC / 💌 Quer uma publi? Fala com a mamãe👇🏻</t>
  </si>
  <si>
    <t xml:space="preserve">https://instagram.com/pippo_ramirez</t>
  </si>
  <si>
    <t xml:space="preserve">@juliovaleriojv</t>
  </si>
  <si>
    <t xml:space="preserve">Julio Valério | Apresentador e Ator | Rádio | JVTV 🎤🎬🇧🇷🇪🇸</t>
  </si>
  <si>
    <t xml:space="preserve">Balneário Camboriú: bio; Camboriú: 2 post(s) marcados</t>
  </si>
  <si>
    <t xml:space="preserve">Divino Oleiro 90.9 FM (2), Camboriú-SC (1), Câmara de Vereadores de Camboriú (1)</t>
  </si>
  <si>
    <t xml:space="preserve">Reconhecido o Apresentador mais Jovem de BC  / 🎭 @contrapontobc @toctocapecasc  / 📻 @divinooleiro90.9fm @oshowdejuliovalerio  / 📺 @tvcpanorama @tvcultura</t>
  </si>
  <si>
    <t xml:space="preserve">https://instagram.com/juliovaleriojv</t>
  </si>
  <si>
    <t xml:space="preserve">@ane.furtado</t>
  </si>
  <si>
    <t xml:space="preserve">Ane Furtado</t>
  </si>
  <si>
    <t xml:space="preserve">Família e maternidade, Educação e conhecimento, Negócios e empreendedorismo</t>
  </si>
  <si>
    <t xml:space="preserve">Balneário Camboriú (2), Monte Castelo, Santa Catarina (1), Udesc Balneário Camboriú (1)</t>
  </si>
  <si>
    <t xml:space="preserve">🔸Psicóloga, Mãe, Mulher, Empreendedora, Teacher / 🔸Instrutora Sling Dance @aconchego_maebebe 🤱🤰</t>
  </si>
  <si>
    <t xml:space="preserve">https://instagram.com/ane.furtado</t>
  </si>
  <si>
    <t xml:space="preserve">@rochapatriciaj</t>
  </si>
  <si>
    <t xml:space="preserve">Patricia Rocha</t>
  </si>
  <si>
    <t xml:space="preserve">Negócios e empreendedorismo, Educação e conhecimento, Finanças, Casa e organização</t>
  </si>
  <si>
    <t xml:space="preserve">🖋️ Coord Empreendedorismo do Município de Balneário Camboriú  / 🖋️Colunista da @revistanegra_ / 🖋️ Gestora de Negócios  / 🖋️Líder de  empreend Feminino</t>
  </si>
  <si>
    <t xml:space="preserve">https://instagram.com/rochapatriciaj</t>
  </si>
  <si>
    <t xml:space="preserve">@organizzo.op</t>
  </si>
  <si>
    <t xml:space="preserve">Organizzo</t>
  </si>
  <si>
    <t xml:space="preserve">Casa e organização, Dicas locais</t>
  </si>
  <si>
    <t xml:space="preserve">Balneário Camboriú (4), La Collina Cantina (1)</t>
  </si>
  <si>
    <t xml:space="preserve">Mah Madalozzo  / Organizer Certificada / Padrão Luxo e Premium / Projetos Residenciais/Mudanças  / Faça seu orçamento 👇🏻</t>
  </si>
  <si>
    <t xml:space="preserve">https://instagram.com/organizzo.op</t>
  </si>
  <si>
    <t xml:space="preserve">@gabisc07</t>
  </si>
  <si>
    <t xml:space="preserve">Gabriela Schirmer</t>
  </si>
  <si>
    <t xml:space="preserve">Moda, Negócios e empreendedorismo</t>
  </si>
  <si>
    <t xml:space="preserve">Balneário Camboriú: bio, 4 post(s) marcados</t>
  </si>
  <si>
    <t xml:space="preserve">Balneário Camboriú (4), Governador Celso Ramos (1), Praia Do Rosa, SC (1), São Paulo (1)</t>
  </si>
  <si>
    <t xml:space="preserve">Fundadora | @miaubygabriela  / Moda com propósito + negócios / 📍Balneário Camboriú  - SC 🇧🇷 / Apoie a causa animal ↓</t>
  </si>
  <si>
    <t xml:space="preserve">https://instagram.com/gabisc07</t>
  </si>
  <si>
    <t xml:space="preserve">@rodrigo_silva_ct_cross</t>
  </si>
  <si>
    <t xml:space="preserve">Rodrigo Silva/ COACH</t>
  </si>
  <si>
    <t xml:space="preserve">Fitness e wellness, Família e maternidade</t>
  </si>
  <si>
    <t xml:space="preserve">Balneário Camboriú: bio, 1 post(s) marcados; Camboriú: 1 post(s) marcados</t>
  </si>
  <si>
    <t xml:space="preserve">Ct Treinamento Funcional Cross (7), Camboriú (1), Barra - Balneário Camboriú/sc (1)</t>
  </si>
  <si>
    <t xml:space="preserve">Rodrigo Silva |  / Triatleta | Coach de Performance / Te ajudo a ir do zero ao IRON / Balneário Camboriú - SC / 🏋️Treino GRÁTIS da semana / CREF: 036187-G/SC</t>
  </si>
  <si>
    <t xml:space="preserve">https://instagram.com/rodrigo_silva_ct_cross</t>
  </si>
  <si>
    <t xml:space="preserve">@gabrmartins</t>
  </si>
  <si>
    <t xml:space="preserve">Gabrieli Martins Silveira</t>
  </si>
  <si>
    <t xml:space="preserve">Família e maternidade, Beleza, Negócios e empreendedorismo</t>
  </si>
  <si>
    <t xml:space="preserve">👩🏽‍💻 Ceo: @studiogabrielimartins @gabedecore @amorporjesuspapelaria  / 📍Balneário Camboriú  / Mamãe da Izadora e Rafaella 💗 / @namesacomdeus.bc  / Salmos 17:8</t>
  </si>
  <si>
    <t xml:space="preserve">https://instagram.com/gabrmartins</t>
  </si>
  <si>
    <t xml:space="preserve">@vivabc.joseph</t>
  </si>
  <si>
    <t xml:space="preserve">Joseph Assis | Balneário Camboriú</t>
  </si>
  <si>
    <t xml:space="preserve">Lifestyle, Gastronomia, Viagem, Dicas locais</t>
  </si>
  <si>
    <t xml:space="preserve">📍 Balneário Camboriú | SC / Mostrando o melhor da cidade: praias, gastronomia, lifestyle e lugares incríveis. 🌊</t>
  </si>
  <si>
    <t xml:space="preserve">https://instagram.com/vivabc.joseph</t>
  </si>
  <si>
    <t xml:space="preserve">@temporadacamboriu</t>
  </si>
  <si>
    <t xml:space="preserve">Temporada Camboriu</t>
  </si>
  <si>
    <t xml:space="preserve">Balneário Camboriú (8), Balneario Camboriu, SC, Brazil (1)</t>
  </si>
  <si>
    <t xml:space="preserve">https://instagram.com/temporadacamboriu</t>
  </si>
  <si>
    <t xml:space="preserve">@jennioliver1</t>
  </si>
  <si>
    <t xml:space="preserve">Jennifer Oliveira | Marketing</t>
  </si>
  <si>
    <t xml:space="preserve">Negócios e empreendedorismo, Família e maternidade</t>
  </si>
  <si>
    <t xml:space="preserve">Santa Catarina, Brasil (5), Balneário Camboriú (2), Blumenau - Santa Catarina (1), Teatro Municipal Bruno Nitz (1)</t>
  </si>
  <si>
    <t xml:space="preserve">Experienciando a plenitude de viver / Mãe, Marketeira raiz, e muito mais  / Business ⬇️ / @fluenciamarketing               @esmeralda.joiasesemijoias</t>
  </si>
  <si>
    <t xml:space="preserve">https://instagram.com/jennioliver1</t>
  </si>
  <si>
    <t xml:space="preserve">@inessantisbc</t>
  </si>
  <si>
    <t xml:space="preserve">Inês Santis</t>
  </si>
  <si>
    <t xml:space="preserve">Moda, Casa e organização, Dicas locais</t>
  </si>
  <si>
    <t xml:space="preserve">Balneario Camboriu, SC, Brazil (1)</t>
  </si>
  <si>
    <t xml:space="preserve">Dicas de moda / Tendências do momento  / Decorações e dicas de casa  / Parceira de @yangbalneario  / 💄💅🏻👠👗👒👛👓🌸</t>
  </si>
  <si>
    <t xml:space="preserve">https://instagram.com/inessantisbc</t>
  </si>
  <si>
    <t xml:space="preserve">@personalpaulaff</t>
  </si>
  <si>
    <t xml:space="preserve">Personal Trainer Paula Fortes</t>
  </si>
  <si>
    <t xml:space="preserve">Sports</t>
  </si>
  <si>
    <t xml:space="preserve">Roddertown Balneário Camboriú (1), Praia Brava - Itajaí/SC (1), Praia Grande - SC - Capital dos Canyons (1), Curitibanos (1)</t>
  </si>
  <si>
    <t xml:space="preserve">Personal Trainer | Pilates / Treinos personalizados para quem quer viver sem dor / 📲Consultoria online •Presencial • Domicílio / 👇 Fale comigo no WhatsApp</t>
  </si>
  <si>
    <t xml:space="preserve">https://instagram.com/personalpaulaff</t>
  </si>
  <si>
    <t xml:space="preserve">@anacr.m</t>
  </si>
  <si>
    <t xml:space="preserve">Ana Carol ☯️</t>
  </si>
  <si>
    <t xml:space="preserve">Negócios e empreendedorismo, Moda</t>
  </si>
  <si>
    <t xml:space="preserve">Balneário Camboriú (2), Pinacoteca (1), UvvA Wine Bar (1), Teatro Amazonas (1)</t>
  </si>
  <si>
    <t xml:space="preserve">•↦ Publicidade | Marketing | Audiovisual | Life / @por.anamarques</t>
  </si>
  <si>
    <t xml:space="preserve">https://instagram.com/anacr.m</t>
  </si>
  <si>
    <t xml:space="preserve">@treinadora_bruwaltrick</t>
  </si>
  <si>
    <t xml:space="preserve">Bruna Waltrick | Treinadora</t>
  </si>
  <si>
    <t xml:space="preserve">CW Studio (3), Balneário Camboriú (3), Roddertown Balneário Camboriú (1)</t>
  </si>
  <si>
    <t xml:space="preserve">Transformo sua rotina em resultados! 🚀 / | Bodybuilding e alta Performance | / | Educadora Física | CREF: 037003-G/SC / Nutrição 📚 | 📍BC / 💍@gtrdiegoo</t>
  </si>
  <si>
    <t xml:space="preserve">https://instagram.com/treinadora_bruwaltrick</t>
  </si>
  <si>
    <t xml:space="preserve">@alexsandrazarske</t>
  </si>
  <si>
    <t xml:space="preserve">Alexsandra Zarske</t>
  </si>
  <si>
    <t xml:space="preserve">Entretenimento e humor, Beleza, Família e maternidade, Lifestyle</t>
  </si>
  <si>
    <t xml:space="preserve">Balneário Camboriú (5), Balneário Camboriú - SC (1), Bairro Vila Real (1), Balneario Camboriu, SC, Brazil (1)</t>
  </si>
  <si>
    <t xml:space="preserve">EMPRESÁRIA/CASADA/MÃE 👧👧👦 / Entretenimento - beleza - estilo de vida  / Amo moda, gastronomia e viagens ✈️ / BC/SC</t>
  </si>
  <si>
    <t xml:space="preserve">https://instagram.com/alexsandrazarske</t>
  </si>
  <si>
    <t xml:space="preserve">@bcvibesbc</t>
  </si>
  <si>
    <t xml:space="preserve">BC Vibes Balneário Camboriu</t>
  </si>
  <si>
    <t xml:space="preserve">Viagem, Gastronomia, Dicas locais, Lifestyle</t>
  </si>
  <si>
    <t xml:space="preserve">Estrada da Rainha BC (2), Balneário Camboriú - SC (2), Taquaras Beach (1), Balneario Camboriu, Santa Catarina, Brasil (1)</t>
  </si>
  <si>
    <t xml:space="preserve">🎬Fotos, Vídeos, Anúncios  / 📸Enviem suas fotos de  BC</t>
  </si>
  <si>
    <t xml:space="preserve">https://instagram.com/bcvibesbc</t>
  </si>
  <si>
    <t xml:space="preserve">@carlos89martins</t>
  </si>
  <si>
    <t xml:space="preserve">Carlos Martins | Corrida &amp; Qualidade de Vida</t>
  </si>
  <si>
    <t xml:space="preserve">Fitness e wellness, Negócios e empreendedorismo, Casa e organização</t>
  </si>
  <si>
    <t xml:space="preserve">Itajaí: 1 post(s) marcados; Balneário Camboriú: 3 post(s) marcados</t>
  </si>
  <si>
    <t xml:space="preserve">Balneário Camboriú (2), Praia de Taquaras (2), Guaramirim (2), Marina Itajaí (1)</t>
  </si>
  <si>
    <t xml:space="preserve">💼 Cofundador e atleta @flowrun.assessoria  / 🏃25 Anos vivendo a corrida na pele / 🏁Do 0 ao seu objetivo 🏆</t>
  </si>
  <si>
    <t xml:space="preserve">https://instagram.com/carlos89martins</t>
  </si>
  <si>
    <t xml:space="preserve">@fernandavieiraconsultora</t>
  </si>
  <si>
    <t xml:space="preserve">Fernanda Vieira | Amamentação e Grupos de gestantes</t>
  </si>
  <si>
    <t xml:space="preserve">Família e maternidade, Educação e conhecimento, Fitness e wellness</t>
  </si>
  <si>
    <t xml:space="preserve">🌟Enfermeira Obstétrica e Consultora em amamentação. / 👩‍🎓Mestre em enfermagem/UFSC / 🧠Graduanda em Psicologia  / 📍@afetivosaudeebemestar / Fale comigo 👇</t>
  </si>
  <si>
    <t xml:space="preserve">https://instagram.com/fernandavieiraconsultora</t>
  </si>
  <si>
    <t xml:space="preserve">@mi.frias</t>
  </si>
  <si>
    <t xml:space="preserve">Milene</t>
  </si>
  <si>
    <t xml:space="preserve">@sheinofficial, @sheinbrasil</t>
  </si>
  <si>
    <t xml:space="preserve">Educação e conhecimento, Moda, Família e maternidade</t>
  </si>
  <si>
    <t xml:space="preserve">Camboriú: bio, 3 post(s) marcados; Balneário Camboriú: 1 post(s) marcados</t>
  </si>
  <si>
    <t xml:space="preserve">Camboriú (3), Rio Grande - Rs (2), Estádio Beira-Rio (1), Heyfit Academia Praça Shopping (1)</t>
  </si>
  <si>
    <t xml:space="preserve">🧩 Autista / 🧠 Neuropsicopedagoga  / 📚 Supervisora Escolar  / 📍 Camboriú / SC</t>
  </si>
  <si>
    <t xml:space="preserve">https://instagram.com/mi.frias</t>
  </si>
  <si>
    <t xml:space="preserve">@balneariocamboriu_cidade</t>
  </si>
  <si>
    <t xml:space="preserve">Balneário Camboriú e região</t>
  </si>
  <si>
    <t xml:space="preserve">Viagem, Gastronomia</t>
  </si>
  <si>
    <t xml:space="preserve">Camboriú: bio; Balneário Camboriú: 7 post(s) marcados</t>
  </si>
  <si>
    <t xml:space="preserve">Deck Pontal Norte (3), Barra Sul - Balneário Camboriú (2), Balneário Camboriú - SC (1), Balneario Camboriu, Santa Catarina, Brasil (1)</t>
  </si>
  <si>
    <t xml:space="preserve">📍O PROTAGONISTA aqui é VC, não o influencer / 📊 +1.1MI de views mensais / 💎 Curadoria - turismo, gastronomia etc. / 🚀Alcance BC, Camboriú &amp; Litoral Norte.</t>
  </si>
  <si>
    <t xml:space="preserve">https://instagram.com/balneariocamboriu_cidade</t>
  </si>
  <si>
    <t xml:space="preserve">@tainaraviau</t>
  </si>
  <si>
    <t xml:space="preserve">Tainara Viau</t>
  </si>
  <si>
    <t xml:space="preserve">Camboriú: bio, 1 post(s) marcados; Balneário Camboriú: 3 post(s) marcados</t>
  </si>
  <si>
    <t xml:space="preserve">Balneário Camboriú - SC (3), Camboriú (1)</t>
  </si>
  <si>
    <t xml:space="preserve">Corro e te incentivo a correr também 🏃🏻‍♀️ / Acredito que movimento traz felicidade🩵 / @movehappyclub  / @corridadatai 25/10 Camboriu(SC) / 👇🏻 inscreva-se</t>
  </si>
  <si>
    <t xml:space="preserve">https://instagram.com/tainaraviau</t>
  </si>
  <si>
    <t xml:space="preserve">@mmichelemartins</t>
  </si>
  <si>
    <t xml:space="preserve">Michele Martins</t>
  </si>
  <si>
    <t xml:space="preserve">Negócios e empreendedorismo, Casa e organização</t>
  </si>
  <si>
    <t xml:space="preserve">Camboriú: 1 post(s) marcados</t>
  </si>
  <si>
    <t xml:space="preserve">São Paulo - SP (1), Mascate Oman (1), Mais Um Ano De Vida (1), Condomínio Mirante Camboriu. (1)</t>
  </si>
  <si>
    <t xml:space="preserve">🏘 Negócios Internacionais Brasil &amp; Omã @madeinbrazilexpo  / 📺 Diretora @maisimoveistv</t>
  </si>
  <si>
    <t xml:space="preserve">https://instagram.com/mmichelemartins</t>
  </si>
  <si>
    <t xml:space="preserve">@elainesimoesnane</t>
  </si>
  <si>
    <t xml:space="preserve">Elaine Simões S. Braga</t>
  </si>
  <si>
    <t xml:space="preserve">Camboriú: 11 post(s) marcados; Balneário Camboriú: 1 post(s) marcados</t>
  </si>
  <si>
    <t xml:space="preserve">Camboriú (11), Balneário Camboriú (1)</t>
  </si>
  <si>
    <t xml:space="preserve">Pedagoga /Babá /Cuidadora / Maquiadora/ Culinarista / Crocheteira / 🇧🇷 / 📩 Assessoria: [e-mail na bio]</t>
  </si>
  <si>
    <t xml:space="preserve">https://instagram.com/elainesimoesnane</t>
  </si>
  <si>
    <t xml:space="preserve">@amitalendo</t>
  </si>
  <si>
    <t xml:space="preserve">A Mi tá lendo!</t>
  </si>
  <si>
    <t xml:space="preserve">Camboriú: bio, 7 post(s) marcados; Balneário Camboriú: 1 post(s) marcados</t>
  </si>
  <si>
    <t xml:space="preserve">Camboriú (7), Rio Grande - Rs (2), Balneário Camboriú (1)</t>
  </si>
  <si>
    <t xml:space="preserve">🧩 Neurodivergente (TEA) / 🧠 Neuropsicopedagoga / 📍 Camboriú/SC</t>
  </si>
  <si>
    <t xml:space="preserve">https://instagram.com/amitalendo</t>
  </si>
  <si>
    <t xml:space="preserve">@luujohann</t>
  </si>
  <si>
    <t xml:space="preserve">Luana Fraporti Johann</t>
  </si>
  <si>
    <t xml:space="preserve">Família e maternidade, Relacionamento, Fitness e wellness, Educação e conhecimento</t>
  </si>
  <si>
    <t xml:space="preserve">Águas Mornas-SC (1), Camboriú (1), Navegantes, Santa Catarina, Brasil (1)</t>
  </si>
  <si>
    <t xml:space="preserve">Mãe do milagre Milena - Prematura Extrema de 610g / 💍| Casada: @brunoleon.blm  / 💡| @donaruiva.pijamas / 🏃‍♀️| @assessoria.leon</t>
  </si>
  <si>
    <t xml:space="preserve">https://instagram.com/luujohann</t>
  </si>
  <si>
    <t xml:space="preserve">@deluccamartins</t>
  </si>
  <si>
    <t xml:space="preserve">Daniel Delucca</t>
  </si>
  <si>
    <t xml:space="preserve">Camboriú: bio</t>
  </si>
  <si>
    <t xml:space="preserve">O CARA DO DONUT 🍩 / 🚒 Bombeiro Civil / ☕ Empresário | @happycoffeoficial  / 💡 Investidor / 👨🏻‍🍳 Gastrônomo / 📈 Gestão • Empreendedorismo • / 📍Camboriú SC</t>
  </si>
  <si>
    <t xml:space="preserve">https://instagram.com/deluccamartins</t>
  </si>
  <si>
    <t xml:space="preserve">@julianamaestri.bessani.psico</t>
  </si>
  <si>
    <t xml:space="preserve">Juliana Maestri Bessani</t>
  </si>
  <si>
    <t xml:space="preserve">Educação e conhecimento, Fitness e wellness, Casa e organização</t>
  </si>
  <si>
    <t xml:space="preserve">Camboriú: 1 post(s) marcados; Balneário Camboriú: 1 post(s) marcados</t>
  </si>
  <si>
    <t xml:space="preserve">Camboriú (1), Balneário Camboriú (1)</t>
  </si>
  <si>
    <t xml:space="preserve">💚Psicóloga (ACP)🎓 MBA Psicologia Positiva🌿Desenvolvimento humano para pessoas e empresas 🚀Treinamentos, 🎤Palestras🧠Terapia🌱Mentoria✨ / 📩 Vamos conversar</t>
  </si>
  <si>
    <t xml:space="preserve">https://instagram.com/julianamaestri.bessani.psico</t>
  </si>
  <si>
    <t xml:space="preserve">@tudodeitapema</t>
  </si>
  <si>
    <t xml:space="preserve">Tudo de Itapema - SC 🇧🇷 - O melhor da Região!</t>
  </si>
  <si>
    <t xml:space="preserve">Relacionamento, Viagem</t>
  </si>
  <si>
    <t xml:space="preserve">Itapema: bio, 2 post(s) marcados</t>
  </si>
  <si>
    <t xml:space="preserve">Itapema - Sta. Catarina (2)</t>
  </si>
  <si>
    <t xml:space="preserve">O casal por trás do Tudo de Itapema 📍 / Vitrine da cidade 💙. / ⭐️ Desde 2022 • Parcerias locais na Região.</t>
  </si>
  <si>
    <t xml:space="preserve">https://instagram.com/tudodeitapema</t>
  </si>
  <si>
    <t xml:space="preserve">@suellyns</t>
  </si>
  <si>
    <t xml:space="preserve">Suellyn Silveira</t>
  </si>
  <si>
    <t xml:space="preserve">Moda, Gastronomia, Beleza, Família e maternidade</t>
  </si>
  <si>
    <t xml:space="preserve">Itapema: bio</t>
  </si>
  <si>
    <t xml:space="preserve">Miami Design District (2), MILA Omakase (1), Call Me Gaby (1), Miami Beach (1)</t>
  </si>
  <si>
    <t xml:space="preserve">Moda, Beleza, Gastronomia e Viagem.  / Não importa o motivo da sua visita. Deus abençoe!  / 💌 [e-mail na bio] / 📍 Itapema, SC.</t>
  </si>
  <si>
    <t xml:space="preserve">https://instagram.com/suellyns</t>
  </si>
  <si>
    <t xml:space="preserve">Camboriú, Balneário Camboriú</t>
  </si>
  <si>
    <t xml:space="preserve">@guimelo8</t>
  </si>
  <si>
    <t xml:space="preserve">Gui Melo | Imóveis de Luxo</t>
  </si>
  <si>
    <t xml:space="preserve">Camboriú: bio; Itapema: bio, 3 post(s) marcados; Balneário Camboriú: 1 post(s) marcados</t>
  </si>
  <si>
    <t xml:space="preserve">Itapema, Brazil (3), Balneário Camboriú (1), Viva Park Porto Belo (1), Yachthouse by Pininfarina (1)</t>
  </si>
  <si>
    <t xml:space="preserve">Especialista em imóveis de luxo no 🇧🇷 &amp; 🇺🇸 / Itapema | B. Camboriú | Orlando / Autor do BestSeller Manual do Corretor de Luxo  / 👇🏼 Fale comigo no WhatsApp</t>
  </si>
  <si>
    <t xml:space="preserve">https://instagram.com/guimelo8</t>
  </si>
  <si>
    <t xml:space="preserve">@carolschultzofc</t>
  </si>
  <si>
    <t xml:space="preserve">CAROL SCHULTZ</t>
  </si>
  <si>
    <t xml:space="preserve">Lifestyle, Dicas locais, UGC, Casa e organização</t>
  </si>
  <si>
    <t xml:space="preserve">Itapema: 2 post(s) marcados</t>
  </si>
  <si>
    <t xml:space="preserve">Seehaus Home Resort (4), Meia Praia, Santa Catarina, Brazil (1), Itapema, Brazil (1), Vivapark Porto Belo (1)</t>
  </si>
  <si>
    <t xml:space="preserve">Oie💫 / Aqui tem um pouco de tudo / Rotina • Dicas • Mkt • UGC / Para parcerias, entre em contato pelo WhatsApp⤵️</t>
  </si>
  <si>
    <t xml:space="preserve">https://instagram.com/carolschultzofc</t>
  </si>
  <si>
    <t xml:space="preserve">@itapemaphotos</t>
  </si>
  <si>
    <t xml:space="preserve">ITAPEMAPHOTOS</t>
  </si>
  <si>
    <t xml:space="preserve">Itapema: bio, 11 post(s) marcados</t>
  </si>
  <si>
    <t xml:space="preserve">Itapema-SC (9), Itapema, Brazil (2)</t>
  </si>
  <si>
    <t xml:space="preserve">🏖️Turismo e lifestyle em Itapema  e região  / 📸Destacamos as belezas da nossa Itapema / 👩‍💻Adm: @andreabayer.corretoradeimoveis</t>
  </si>
  <si>
    <t xml:space="preserve">https://instagram.com/itapemaphotos</t>
  </si>
  <si>
    <t xml:space="preserve">@olhardeitapema</t>
  </si>
  <si>
    <t xml:space="preserve">Olhar De Itapema.SC ®</t>
  </si>
  <si>
    <t xml:space="preserve">Itapema: bio, 7 post(s) marcados</t>
  </si>
  <si>
    <t xml:space="preserve">Itapema, Brazil (5), Meia Praia, Itapema (1), Itapema, Santa Catarina, Brazil (1)</t>
  </si>
  <si>
    <t xml:space="preserve">🌊 Itapema em vídeos incríveis  / +60 mil pessoas já descobriram  / 📍 Praias • Gastronomia • Turismo @ficadica.costaesmeralda  / Siga! / Parcerias?👇🏻</t>
  </si>
  <si>
    <t xml:space="preserve">https://instagram.com/olhardeitapema</t>
  </si>
  <si>
    <t xml:space="preserve">@_viva_itapema</t>
  </si>
  <si>
    <t xml:space="preserve">Viva Itapema</t>
  </si>
  <si>
    <t xml:space="preserve">Viagem, Dicas locais, Lifestyle</t>
  </si>
  <si>
    <t xml:space="preserve">Itapema: bio, 6 post(s) marcados</t>
  </si>
  <si>
    <t xml:space="preserve">Itapema, Brazil (3), Itapema, Santa Catarina, Brazil (2), Rio Grande do Sul (1), Praia Central Itapema Sc (1)</t>
  </si>
  <si>
    <t xml:space="preserve">☀️ Turismo e lifestyle em Itapema - SC / 📍 Dicas, praias, passeios e experiências / 🤝 Anúncios via DM / ➡️ Siga também: @viva.santa_catarina</t>
  </si>
  <si>
    <t xml:space="preserve">https://instagram.com/_viva_itapema</t>
  </si>
  <si>
    <t xml:space="preserve">@negojoe</t>
  </si>
  <si>
    <t xml:space="preserve">Nego Joe</t>
  </si>
  <si>
    <t xml:space="preserve">Itapema: 6 post(s) marcados</t>
  </si>
  <si>
    <t xml:space="preserve">Meia Praia, Santa Catarina, Brazil (6), Bombinhas (2)</t>
  </si>
  <si>
    <t xml:space="preserve">Contato para Shows: / ☎️[telefone na bio] / Ouça “Nego Joe” 🎧⬇️</t>
  </si>
  <si>
    <t xml:space="preserve">https://instagram.com/negojoe</t>
  </si>
  <si>
    <t xml:space="preserve">@falaitapema</t>
  </si>
  <si>
    <t xml:space="preserve">Fala Itapema</t>
  </si>
  <si>
    <t xml:space="preserve">Itapema: bio, 3 post(s) marcados</t>
  </si>
  <si>
    <t xml:space="preserve">Centro, Itapema, Sc (1), Itapema, Santa Catarina, Brazil (1), Itapema, Brazil (1)</t>
  </si>
  <si>
    <t xml:space="preserve">Perfil oficial @falaitapema / Tudo sobre itapema ! / Parceria e divulgações chamar na dm</t>
  </si>
  <si>
    <t xml:space="preserve">https://instagram.com/falaitapema</t>
  </si>
  <si>
    <t xml:space="preserve">@jessicaaolivei</t>
  </si>
  <si>
    <t xml:space="preserve">Jessica Oliveira</t>
  </si>
  <si>
    <t xml:space="preserve">Itapema: bio, 2 post(s) marcados; Balneário Camboriú: 1 post(s) marcados</t>
  </si>
  <si>
    <t xml:space="preserve">Bombinhas Beach (1), Balneário Camboriú (1), Itapema, Brazil (1), Itapema Meia Praia (1)</t>
  </si>
  <si>
    <t xml:space="preserve">Influenciadora &amp; apresentadora em Itapema / 🏷️ JESSICAO10 @renovabeoficial  / Embaixadora da KNN Idiomas BC e Itapema / publicidades 👇🏼</t>
  </si>
  <si>
    <t xml:space="preserve">https://instagram.com/jessicaaolivei</t>
  </si>
  <si>
    <t xml:space="preserve">@kamillesilveiraa_</t>
  </si>
  <si>
    <t xml:space="preserve">Kamille Silveira🇧🇷</t>
  </si>
  <si>
    <t xml:space="preserve">Itapema: 7 post(s) marcados</t>
  </si>
  <si>
    <t xml:space="preserve">Itapema Meia Praia (4), Hard Rock Cafe Itapema (1), Itapema, Brazil (1), Pier Itapema (1)</t>
  </si>
  <si>
    <t xml:space="preserve">🏍️ Pilota | +20k @tiktokbrasil 🎥 / 👩🏻‍💻 Parcerias &amp; collabs | LINK ABAIXO📩 / Embaixadora @racer1oficial - @fullprobr - @blaise.br1  / 📍SC</t>
  </si>
  <si>
    <t xml:space="preserve">https://instagram.com/kamillesilveiraa_</t>
  </si>
  <si>
    <t xml:space="preserve">@eduardoinvest.bc</t>
  </si>
  <si>
    <t xml:space="preserve">Eduardo Bonacina | Assessor de Investimentos</t>
  </si>
  <si>
    <t xml:space="preserve">Finanças, Negócios e empreendedorismo</t>
  </si>
  <si>
    <t xml:space="preserve">Itapema: bio; Balneário Camboriú: 2 post(s) marcados</t>
  </si>
  <si>
    <t xml:space="preserve">Porto belo - Litoral Catarinense (4), Balneário Camboriú (2)</t>
  </si>
  <si>
    <t xml:space="preserve">📈 Especialista em investimento imobiliário / ⚜️ Gestor no @onovoimobiliario 🇧🇷🇺🇸🇬🇧 🇪🇸  / 🔑 Segurança|Valorização|Liquidez / 📍 Itapema e Porto Belo</t>
  </si>
  <si>
    <t xml:space="preserve">https://instagram.com/eduardoinvest.bc</t>
  </si>
  <si>
    <t xml:space="preserve">@brunomarques_sc</t>
  </si>
  <si>
    <t xml:space="preserve">Bruno Marques | 🇧🇷🌎</t>
  </si>
  <si>
    <t xml:space="preserve">Itapema: bio, 8 post(s) marcados</t>
  </si>
  <si>
    <t xml:space="preserve">Itapema, Brazil (5), Centro, Itapema, Sc (1), Meia Praia, Santa Catarina, Brazil (1), Itapema - Sta. Catarina (1)</t>
  </si>
  <si>
    <t xml:space="preserve">🌎 14 anos de experiência em investimentos Imobiliários.  / 🌐 🇧🇷🇺🇸🇮🇪🇩🇪🇵🇹🇫🇷🇩🇰 / 📍#portobelo #itapema #santacatarina  / 👨‍👩‍👧@paoladullius_sc  @isabela_dullius</t>
  </si>
  <si>
    <t xml:space="preserve">https://instagram.com/brunomarques_sc</t>
  </si>
  <si>
    <t xml:space="preserve">@itapemabeach_</t>
  </si>
  <si>
    <t xml:space="preserve">Itapema|Santa Catarina|Litoral Catarinense</t>
  </si>
  <si>
    <t xml:space="preserve">Itapema: bio, 4 post(s) marcados</t>
  </si>
  <si>
    <t xml:space="preserve">Itapema-SC (3), Itapema Meia Praia (1)</t>
  </si>
  <si>
    <t xml:space="preserve">🌊| O melhor de Itapema para você! / 🏖 Praias 🍃Trilhas 🏝Cachoeiras / 🤝| Parcerias⤵️</t>
  </si>
  <si>
    <t xml:space="preserve">https://instagram.com/itapemabeach_</t>
  </si>
  <si>
    <t xml:space="preserve">@silmarodesenhos</t>
  </si>
  <si>
    <t xml:space="preserve">Silmar Oliveira</t>
  </si>
  <si>
    <t xml:space="preserve">Galeria Liz Artes (1)</t>
  </si>
  <si>
    <t xml:space="preserve">Desenhista profissional / Professor de Desenho✏ / casado @katinhacroche50 ❤️ / Ciclista 🚲 / Itapema SC 🏖 /  @galerializartes 🖌🎨✏️</t>
  </si>
  <si>
    <t xml:space="preserve">https://instagram.com/silmarodesenhos</t>
  </si>
  <si>
    <t xml:space="preserve">@carloshenrique.ads_</t>
  </si>
  <si>
    <t xml:space="preserve">Carlos Henrique | Gestor de trafego</t>
  </si>
  <si>
    <t xml:space="preserve">Negócios e empreendedorismo, Social mídia e conteúdo, Finanças, Educação e conhecimento</t>
  </si>
  <si>
    <t xml:space="preserve">Ajudo negócios locais a vender mais com anúncios / 📍 Itapema/SC · Atendo todo o Brasil / 🏆 Certificado Subido (Pedro Sobral) / 👇 Fale comigo no WhatsApp</t>
  </si>
  <si>
    <t xml:space="preserve">https://instagram.com/carloshenrique.ads_</t>
  </si>
  <si>
    <t xml:space="preserve">@vivi_balneariocamboriu</t>
  </si>
  <si>
    <t xml:space="preserve">Viví Oliveira</t>
  </si>
  <si>
    <t xml:space="preserve">Beleza, Fitness e wellness</t>
  </si>
  <si>
    <t xml:space="preserve">Itapema: 1 post(s) marcados; Balneário Camboriú: 1 post(s) marcados</t>
  </si>
  <si>
    <t xml:space="preserve">Meia Praia, Santa Catarina, Brazil (1), Balneário Camboriú - SC (1)</t>
  </si>
  <si>
    <t xml:space="preserve">👑 VICE MISS SANTA CATARINA 2025  / 👑 MISS BALNEÁRIO C. 22/23 / @lojanutriblue  / @innovareface  / @borji_e_co / @ohzon.clinica</t>
  </si>
  <si>
    <t xml:space="preserve">https://instagram.com/vivi_balneariocamboriu</t>
  </si>
  <si>
    <t xml:space="preserve">@karolina_mary</t>
  </si>
  <si>
    <t xml:space="preserve">Mariana Carolina</t>
  </si>
  <si>
    <t xml:space="preserve">Entretenimento e humor, Moda, Beleza, Viagem</t>
  </si>
  <si>
    <t xml:space="preserve">Bombinhas Beach (9)</t>
  </si>
  <si>
    <t xml:space="preserve">🧘‍♀️Praias, looks, dicas de beleza e minhas experiências como blogueira:) / 📍Itapema / 📩Parcerias , me chame no direct / 👇Me siga no tiktok</t>
  </si>
  <si>
    <t xml:space="preserve">https://instagram.com/karolina_mary</t>
  </si>
  <si>
    <t xml:space="preserve">@joseelacerdaa</t>
  </si>
  <si>
    <t xml:space="preserve">José Lacerda</t>
  </si>
  <si>
    <t xml:space="preserve">Itapema: 2 post(s) marcados; Camboriú: 1 post(s) marcados; Balneário Camboriú: 1 post(s) marcados</t>
  </si>
  <si>
    <t xml:space="preserve">Itapema Meia Praia (1), Green Valley - Camboriu/SC (1), Tijucas, Santa Catarina (1), Balneário Camboriú (1)</t>
  </si>
  <si>
    <t xml:space="preserve">🗾THE / @corinthians🖤 / 🇧🇷 BC / 1x MARATONISTA 42,195km ⤴️ / 5x Meia Maratonista 105,485km⤴️</t>
  </si>
  <si>
    <t xml:space="preserve">https://instagram.com/joseelacerdaa</t>
  </si>
  <si>
    <t xml:space="preserve">@nery_karolpersonal</t>
  </si>
  <si>
    <t xml:space="preserve">KAROLINA NERY | PERSONAL | ITAPEMA</t>
  </si>
  <si>
    <t xml:space="preserve">Itapema: 1 post(s) marcados</t>
  </si>
  <si>
    <t xml:space="preserve">Trainer Fitness Studio (1), Surreal Park (1), Itapema - Meia Praia - Sc (1), Ravenna Beach Sports (1)</t>
  </si>
  <si>
    <t xml:space="preserve">Atendimento feminino! 🍃 / 30 dias para um bumbum durinho e abdômen sequinho! / Projeto “VERÃO SEM CANGA”👙 click ⤵️ / @trainerfitness_studio</t>
  </si>
  <si>
    <t xml:space="preserve">https://instagram.com/nery_karolpersonal</t>
  </si>
  <si>
    <t xml:space="preserve">@click.itapema</t>
  </si>
  <si>
    <t xml:space="preserve">Click Itapema | Conteúdo Viral</t>
  </si>
  <si>
    <t xml:space="preserve">Canto da Praia (5), Itapema - Sta. Catarina (2), Centro, Itapema, Sc (2), Meia Praia, Itapema (1)</t>
  </si>
  <si>
    <t xml:space="preserve">Registros do Paraíso  / Itapema / SC / Brasil / 🌞🏖🌞⛵️🌞🚴‍♂️🌞</t>
  </si>
  <si>
    <t xml:space="preserve">https://instagram.com/click.itapema</t>
  </si>
  <si>
    <t xml:space="preserve">@terapeuta.dianabrandao</t>
  </si>
  <si>
    <t xml:space="preserve">Diana Brandão</t>
  </si>
  <si>
    <t xml:space="preserve">Itapema: 4 post(s) marcados</t>
  </si>
  <si>
    <t xml:space="preserve">Meia Praia, Santa Catarina, Brazil (4)</t>
  </si>
  <si>
    <t xml:space="preserve">✨TERAPEUTA DA ALMA✨Entre o caos e a calma, um ponto de equilíbrio espiritual. / 🔑Humanoterapeuta Energética Espiritual  / 🧠PSICANALISTA ESPIRITUAL.🏹</t>
  </si>
  <si>
    <t xml:space="preserve">https://instagram.com/terapeuta.dianabrandao</t>
  </si>
  <si>
    <t xml:space="preserve">@heber.oliveira.pesca_de_praia</t>
  </si>
  <si>
    <t xml:space="preserve">Pesca</t>
  </si>
  <si>
    <t xml:space="preserve">Viagem, Educação e conhecimento</t>
  </si>
  <si>
    <t xml:space="preserve">Itapema: bio, 7 post(s) marcados; Balneário Camboriú: 1 post(s) marcados</t>
  </si>
  <si>
    <t xml:space="preserve">Itapema - Sta. Catarina (5), Balneario Camboriu, SC, Brazil (1), Itapema, Brazil (1), Itapema Meia Praia (1)</t>
  </si>
  <si>
    <t xml:space="preserve">Pesca de Praia Itapema</t>
  </si>
  <si>
    <t xml:space="preserve">https://instagram.com/heber.oliveira.pesca_de_praia</t>
  </si>
  <si>
    <t xml:space="preserve">@camila_paloschi</t>
  </si>
  <si>
    <t xml:space="preserve">Ana Camila Miliavaca Paloschi</t>
  </si>
  <si>
    <t xml:space="preserve">Família e maternidade, Educação e conhecimento</t>
  </si>
  <si>
    <t xml:space="preserve">Igreja Casa do Oleiro (4), Meia Praia, Santa Catarina, Brazil (1)</t>
  </si>
  <si>
    <t xml:space="preserve">https://instagram.com/camila_paloschi</t>
  </si>
  <si>
    <t xml:space="preserve">@kaleujr</t>
  </si>
  <si>
    <t xml:space="preserve">Kaleu Junior</t>
  </si>
  <si>
    <t xml:space="preserve">Entretenimento e humor, Educação e conhecimento</t>
  </si>
  <si>
    <t xml:space="preserve">DJ</t>
  </si>
  <si>
    <t xml:space="preserve">Tarobá FM (2), Itapema Meia Praia (2), Itapema, Brazil (1), Village Piratas Restaurante e Petiscaria (1)</t>
  </si>
  <si>
    <t xml:space="preserve">🎙️Locutor I Produtor I DJ / 📻@tarobafmcascavel I @planaltofm89.3 / ⌨️@massafmvaleitapema</t>
  </si>
  <si>
    <t xml:space="preserve">https://instagram.com/kaleujr</t>
  </si>
  <si>
    <t xml:space="preserve">@rafajenei</t>
  </si>
  <si>
    <r>
      <rPr>
        <sz val="10"/>
        <rFont val="Arial"/>
        <family val="0"/>
        <charset val="1"/>
      </rPr>
      <t xml:space="preserve">𝔽 𝔸 𝔼 𝕃 zito </t>
    </r>
    <r>
      <rPr>
        <sz val="10"/>
        <rFont val="Noto Sans CJK SC"/>
        <family val="2"/>
      </rPr>
      <t xml:space="preserve">シ</t>
    </r>
  </si>
  <si>
    <t xml:space="preserve">Itapema: 1 post(s) marcados; Camboriú: 1 post(s) marcados</t>
  </si>
  <si>
    <t xml:space="preserve">Blumenau - Santa Catarina (2), Porto Belo (2), Cazah (1), Itapema, Brazil (1)</t>
  </si>
  <si>
    <t xml:space="preserve">Registrando a vida e fazendo desse perfil, meu álbum de fotos 📷 / ⬇️⬇️ouça minhas músicas no Spotify</t>
  </si>
  <si>
    <t xml:space="preserve">https://instagram.com/rafajenei</t>
  </si>
  <si>
    <t xml:space="preserve">@palomakehll</t>
  </si>
  <si>
    <t xml:space="preserve">Paloma kehl |Empreendedora Itapema</t>
  </si>
  <si>
    <t xml:space="preserve">Itapema: bio, 12 post(s) marcados</t>
  </si>
  <si>
    <t xml:space="preserve">Itapema, Brazil (12)</t>
  </si>
  <si>
    <t xml:space="preserve">🚗 Mulher automotiva &amp; empreendedora / 💼 Gestão | Negócios | Carros / 👗 Plus Size • 🎤 Cerimonial / 📍 Vivendo e empreendendo em Itapema</t>
  </si>
  <si>
    <t xml:space="preserve">https://instagram.com/palomakehll</t>
  </si>
  <si>
    <t xml:space="preserve">@flaviabruguer</t>
  </si>
  <si>
    <t xml:space="preserve">Flavia Bruguer | Social Media | Filmaker Itapema</t>
  </si>
  <si>
    <t xml:space="preserve">Estratégia, proximidade e criatividade ✨ / Posicione sua marca com autenticidade 🇧🇷🇺🇸🇦🇪 / Social media | Filmaker mobile | Storymaker🎥 / 📍Itapema - SC</t>
  </si>
  <si>
    <t xml:space="preserve">https://instagram.com/flaviabruguer</t>
  </si>
  <si>
    <t xml:space="preserve">@thaismurarotrainer</t>
  </si>
  <si>
    <t xml:space="preserve">Thaís Helena | Personal Trainer | Itapema</t>
  </si>
  <si>
    <t xml:space="preserve">Praia do Estaleirinho (1), Orla do Guaiba - Poa RS (1), Porto Alegre, Rio Grande do Sul (1), Itapema - Sta. Catarina (1)</t>
  </si>
  <si>
    <t xml:space="preserve">🧬 | Musculação baseada na ciência / 🏋🏼‍♀️ | CREF 036884 G/SC / 📚 | Prêmio Mérito Estudantil pela Univali  / 🏃‍♀️ | Meia maratonista</t>
  </si>
  <si>
    <t xml:space="preserve">https://instagram.com/thaismurarotrainer</t>
  </si>
  <si>
    <t xml:space="preserve">@machado.gi_</t>
  </si>
  <si>
    <t xml:space="preserve">G I   M A C H A D O | L I F E  S T Y L E</t>
  </si>
  <si>
    <t xml:space="preserve">Itapema: 9 post(s) marcados</t>
  </si>
  <si>
    <t xml:space="preserve">Itapema, Brazil (4), Itapema - Sta. Catarina (2), Brusque, Santa Catarina (2), Morretes, Itapema (2)</t>
  </si>
  <si>
    <t xml:space="preserve">Minha jornada de transformação 🦋 / 🏋🏻‍♀️ treino • 🏃🏻‍♀️ corrida • ✨ vida real •  / @espindola_98 💍 / Insta profissional: @gimachadonail_ 💅🏼</t>
  </si>
  <si>
    <t xml:space="preserve">https://instagram.com/machado.gi_</t>
  </si>
  <si>
    <t xml:space="preserve">Balneário Camboriú, Camboriú</t>
  </si>
  <si>
    <t xml:space="preserve">@boas_dicas_bc</t>
  </si>
  <si>
    <t xml:space="preserve">•BOAS DICAS•</t>
  </si>
  <si>
    <t xml:space="preserve">Balneário Camboriú: 2 post(s) marcados; Itapema: 5 post(s) marcados; Camboriú: 2 post(s) marcados</t>
  </si>
  <si>
    <t xml:space="preserve">Itapema, Brazil (5), Balneário Camboriú (2), Camboriú (2)</t>
  </si>
  <si>
    <t xml:space="preserve">Meu negócio é divulgar o seu! / Publicações diárias. / Publicações no Instagram, Facebook, WhatsApp.</t>
  </si>
  <si>
    <t xml:space="preserve">https://instagram.com/boas_dicas_bc</t>
  </si>
  <si>
    <t xml:space="preserve">@analeite0615</t>
  </si>
  <si>
    <t xml:space="preserve">Ana Vitoria Leite</t>
  </si>
  <si>
    <t xml:space="preserve">Recomeçando do zero 🌱 / Mãe • 2 empregos • disciplina diária / Corpo, mente e alma em evolução ✨ / 📍Itapema/SC Brasil</t>
  </si>
  <si>
    <t xml:space="preserve">https://instagram.com/analeite0615</t>
  </si>
  <si>
    <t xml:space="preserve">@tanise_vieira_</t>
  </si>
  <si>
    <t xml:space="preserve">Tanise Vieira</t>
  </si>
  <si>
    <t xml:space="preserve">Itapema: bio, 9 post(s) marcados</t>
  </si>
  <si>
    <t xml:space="preserve">Meia Praia, Itapema (5), Itapema, Brazil (2), Meia Praia, Santa Catarina, Brazil (1), Itapema Meia Praia (1)</t>
  </si>
  <si>
    <t xml:space="preserve">☕Coffee •🍷Wine  •📖Books / •English student 🇺🇸@ccaaItapema / •3km •5km🏃🏻‍♀️‍➡️ / 🌊A vida ficou mais bonita quando encontrou o Mar / 📍SC</t>
  </si>
  <si>
    <t xml:space="preserve">https://instagram.com/tanise_vieira_</t>
  </si>
  <si>
    <t xml:space="preserve">@andreiamourasc</t>
  </si>
  <si>
    <t xml:space="preserve">Andreia Moura</t>
  </si>
  <si>
    <t xml:space="preserve">Balneário Camboriú: 1 post(s) marcados; Itapema: 2 post(s) marcados</t>
  </si>
  <si>
    <t xml:space="preserve">Itapema Meia Praia (2), Balneário Piçarras - SC (2), Praia Barra Velha (1), Balneário Camboriú - SC (1)</t>
  </si>
  <si>
    <t xml:space="preserve">🏃‍♀️Atleta 🔓5 km  🔓10 km🔓 15 km   / Musculação / Crossfit  / “Seja forte e corajosa, Deus está com você.”</t>
  </si>
  <si>
    <t xml:space="preserve">https://instagram.com/andreiamourasc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</si>
</sst>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dd/mm/yyyy"/>
    <numFmt numFmtId="167" formatCode="#,##0"/>
    <numFmt numFmtId="168" formatCode="0.00%"/>
    <numFmt numFmtId="169" formatCode="0.00"/>
    <numFmt numFmtId="170" formatCode="#,##0.0"/>
    <numFmt numFmtId="171" formatCode="0%"/>
    <numFmt numFmtId="172" formatCode="0.0"/>
    <numFmt numFmtId="173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D23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1E8E4F"/>
      <name val="Arial"/>
      <family val="0"/>
      <charset val="1"/>
    </font>
    <font>
      <u val="single"/>
      <sz val="10"/>
      <color rgb="FF0061EE"/>
      <name val="Arial"/>
      <family val="0"/>
      <charset val="1"/>
    </font>
    <font>
      <b val="true"/>
      <sz val="10"/>
      <color rgb="FF999999"/>
      <name val="Arial"/>
      <family val="0"/>
      <charset val="1"/>
    </font>
    <font>
      <b val="true"/>
      <sz val="10"/>
      <color rgb="FFB07A0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0A0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D23F"/>
          <bgColor rgb="FF000000"/>
        </patternFill>
      </fill>
    </dxf>
    <dxf>
      <fill>
        <patternFill patternType="solid">
          <fgColor rgb="FF1E8E4F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B07A00"/>
          <bgColor rgb="FF000000"/>
        </patternFill>
      </fill>
    </dxf>
    <dxf>
      <fill>
        <patternFill patternType="solid">
          <fgColor rgb="FF0061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1EE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23F"/>
      <rgbColor rgb="FFFF9900"/>
      <rgbColor rgb="FFFF6600"/>
      <rgbColor rgb="FF666699"/>
      <rgbColor rgb="FF999999"/>
      <rgbColor rgb="FF003366"/>
      <rgbColor rgb="FF1E8E4F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instagram.com/thaisedemari" TargetMode="External"/><Relationship Id="rId2" Type="http://schemas.openxmlformats.org/officeDocument/2006/relationships/hyperlink" Target="https://instagram.com/lucasmirandasc" TargetMode="External"/><Relationship Id="rId3" Type="http://schemas.openxmlformats.org/officeDocument/2006/relationships/hyperlink" Target="https://instagram.com/superdicasnaestrada" TargetMode="External"/><Relationship Id="rId4" Type="http://schemas.openxmlformats.org/officeDocument/2006/relationships/hyperlink" Target="https://instagram.com/raissaarcanjo" TargetMode="External"/><Relationship Id="rId5" Type="http://schemas.openxmlformats.org/officeDocument/2006/relationships/hyperlink" Target="https://instagram.com/itajaisc_" TargetMode="External"/><Relationship Id="rId6" Type="http://schemas.openxmlformats.org/officeDocument/2006/relationships/hyperlink" Target="https://instagram.com/nubiakatyoficial" TargetMode="External"/><Relationship Id="rId7" Type="http://schemas.openxmlformats.org/officeDocument/2006/relationships/hyperlink" Target="https://instagram.com/eogriilo" TargetMode="External"/><Relationship Id="rId8" Type="http://schemas.openxmlformats.org/officeDocument/2006/relationships/hyperlink" Target="https://instagram.com/gabryelnuness" TargetMode="External"/><Relationship Id="rId9" Type="http://schemas.openxmlformats.org/officeDocument/2006/relationships/hyperlink" Target="https://instagram.com/julianadomareski" TargetMode="External"/><Relationship Id="rId10" Type="http://schemas.openxmlformats.org/officeDocument/2006/relationships/hyperlink" Target="https://instagram.com/gabyoliveirasc" TargetMode="External"/><Relationship Id="rId11" Type="http://schemas.openxmlformats.org/officeDocument/2006/relationships/hyperlink" Target="https://instagram.com/tatypassos__" TargetMode="External"/><Relationship Id="rId12" Type="http://schemas.openxmlformats.org/officeDocument/2006/relationships/hyperlink" Target="https://instagram.com/toemdrika" TargetMode="External"/><Relationship Id="rId13" Type="http://schemas.openxmlformats.org/officeDocument/2006/relationships/hyperlink" Target="https://instagram.com/mordomorodrigo_oficial" TargetMode="External"/><Relationship Id="rId14" Type="http://schemas.openxmlformats.org/officeDocument/2006/relationships/hyperlink" Target="https://instagram.com/herique.finatto" TargetMode="External"/><Relationship Id="rId15" Type="http://schemas.openxmlformats.org/officeDocument/2006/relationships/hyperlink" Target="https://instagram.com/shophome.brasil" TargetMode="External"/><Relationship Id="rId16" Type="http://schemas.openxmlformats.org/officeDocument/2006/relationships/hyperlink" Target="https://instagram.com/isabelaonofre" TargetMode="External"/><Relationship Id="rId17" Type="http://schemas.openxmlformats.org/officeDocument/2006/relationships/hyperlink" Target="https://instagram.com/bevieiraa" TargetMode="External"/><Relationship Id="rId18" Type="http://schemas.openxmlformats.org/officeDocument/2006/relationships/hyperlink" Target="https://instagram.com/melissagmenezes" TargetMode="External"/><Relationship Id="rId19" Type="http://schemas.openxmlformats.org/officeDocument/2006/relationships/hyperlink" Target="https://instagram.com/divulgaitajai" TargetMode="External"/><Relationship Id="rId20" Type="http://schemas.openxmlformats.org/officeDocument/2006/relationships/hyperlink" Target="https://instagram.com/solaynesantos" TargetMode="External"/><Relationship Id="rId21" Type="http://schemas.openxmlformats.org/officeDocument/2006/relationships/hyperlink" Target="https://instagram.com/brigadeiroealecrim" TargetMode="External"/><Relationship Id="rId22" Type="http://schemas.openxmlformats.org/officeDocument/2006/relationships/hyperlink" Target="https://instagram.com/eubarbaraabreu" TargetMode="External"/><Relationship Id="rId23" Type="http://schemas.openxmlformats.org/officeDocument/2006/relationships/hyperlink" Target="https://instagram.com/omelhordeitajai" TargetMode="External"/><Relationship Id="rId24" Type="http://schemas.openxmlformats.org/officeDocument/2006/relationships/hyperlink" Target="https://instagram.com/lu.monaly" TargetMode="External"/><Relationship Id="rId25" Type="http://schemas.openxmlformats.org/officeDocument/2006/relationships/hyperlink" Target="https://instagram.com/cademinhascoisas" TargetMode="External"/><Relationship Id="rId26" Type="http://schemas.openxmlformats.org/officeDocument/2006/relationships/hyperlink" Target="https://instagram.com/bruna_alika" TargetMode="External"/><Relationship Id="rId27" Type="http://schemas.openxmlformats.org/officeDocument/2006/relationships/hyperlink" Target="https://instagram.com/millycristt" TargetMode="External"/><Relationship Id="rId28" Type="http://schemas.openxmlformats.org/officeDocument/2006/relationships/hyperlink" Target="https://instagram.com/thais_araujo.7" TargetMode="External"/><Relationship Id="rId29" Type="http://schemas.openxmlformats.org/officeDocument/2006/relationships/hyperlink" Target="https://instagram.com/gabxmelo" TargetMode="External"/><Relationship Id="rId30" Type="http://schemas.openxmlformats.org/officeDocument/2006/relationships/hyperlink" Target="https://instagram.com/joanakathelen" TargetMode="External"/><Relationship Id="rId31" Type="http://schemas.openxmlformats.org/officeDocument/2006/relationships/hyperlink" Target="https://instagram.com/n1kx_x" TargetMode="External"/><Relationship Id="rId32" Type="http://schemas.openxmlformats.org/officeDocument/2006/relationships/hyperlink" Target="https://instagram.com/itajaimilgr4u" TargetMode="External"/><Relationship Id="rId33" Type="http://schemas.openxmlformats.org/officeDocument/2006/relationships/hyperlink" Target="https://instagram.com/danielipickering" TargetMode="External"/><Relationship Id="rId34" Type="http://schemas.openxmlformats.org/officeDocument/2006/relationships/hyperlink" Target="https://instagram.com/ana_paula_videomaker" TargetMode="External"/><Relationship Id="rId35" Type="http://schemas.openxmlformats.org/officeDocument/2006/relationships/hyperlink" Target="https://instagram.com/marcelabontorin" TargetMode="External"/><Relationship Id="rId36" Type="http://schemas.openxmlformats.org/officeDocument/2006/relationships/hyperlink" Target="https://instagram.com/tonsdeana" TargetMode="External"/><Relationship Id="rId37" Type="http://schemas.openxmlformats.org/officeDocument/2006/relationships/hyperlink" Target="https://instagram.com/brunasamanthas" TargetMode="External"/><Relationship Id="rId38" Type="http://schemas.openxmlformats.org/officeDocument/2006/relationships/hyperlink" Target="https://instagram.com/andreza.marinho_22" TargetMode="External"/><Relationship Id="rId39" Type="http://schemas.openxmlformats.org/officeDocument/2006/relationships/hyperlink" Target="https://instagram.com/brunoleon.blm" TargetMode="External"/><Relationship Id="rId40" Type="http://schemas.openxmlformats.org/officeDocument/2006/relationships/hyperlink" Target="https://instagram.com/karinawbauer" TargetMode="External"/><Relationship Id="rId41" Type="http://schemas.openxmlformats.org/officeDocument/2006/relationships/hyperlink" Target="https://instagram.com/rurikdrone" TargetMode="External"/><Relationship Id="rId42" Type="http://schemas.openxmlformats.org/officeDocument/2006/relationships/hyperlink" Target="https://instagram.com/annacarolgarimpo" TargetMode="External"/><Relationship Id="rId43" Type="http://schemas.openxmlformats.org/officeDocument/2006/relationships/hyperlink" Target="https://instagram.com/enfbapereira" TargetMode="External"/><Relationship Id="rId44" Type="http://schemas.openxmlformats.org/officeDocument/2006/relationships/hyperlink" Target="https://instagram.com/isabbelle_m" TargetMode="External"/><Relationship Id="rId45" Type="http://schemas.openxmlformats.org/officeDocument/2006/relationships/hyperlink" Target="https://instagram.com/eudanielabonet" TargetMode="External"/><Relationship Id="rId46" Type="http://schemas.openxmlformats.org/officeDocument/2006/relationships/hyperlink" Target="https://instagram.com/psicologademae" TargetMode="External"/><Relationship Id="rId47" Type="http://schemas.openxmlformats.org/officeDocument/2006/relationships/hyperlink" Target="https://instagram.com/rafaeldoutore" TargetMode="External"/><Relationship Id="rId48" Type="http://schemas.openxmlformats.org/officeDocument/2006/relationships/hyperlink" Target="https://instagram.com/treinador_veiga" TargetMode="External"/><Relationship Id="rId49" Type="http://schemas.openxmlformats.org/officeDocument/2006/relationships/hyperlink" Target="https://instagram.com/clebercoragem" TargetMode="External"/><Relationship Id="rId50" Type="http://schemas.openxmlformats.org/officeDocument/2006/relationships/hyperlink" Target="https://instagram.com/amandadumbrofsqui" TargetMode="External"/><Relationship Id="rId51" Type="http://schemas.openxmlformats.org/officeDocument/2006/relationships/hyperlink" Target="https://instagram.com/leandrogatelli_personal" TargetMode="External"/><Relationship Id="rId52" Type="http://schemas.openxmlformats.org/officeDocument/2006/relationships/hyperlink" Target="https://instagram.com/ddiegoo.martins" TargetMode="External"/><Relationship Id="rId53" Type="http://schemas.openxmlformats.org/officeDocument/2006/relationships/hyperlink" Target="https://instagram.com/silviaandreamota" TargetMode="External"/><Relationship Id="rId54" Type="http://schemas.openxmlformats.org/officeDocument/2006/relationships/hyperlink" Target="https://instagram.com/doulacriscurvello" TargetMode="External"/><Relationship Id="rId55" Type="http://schemas.openxmlformats.org/officeDocument/2006/relationships/hyperlink" Target="https://instagram.com/personalorganizer.karen" TargetMode="External"/><Relationship Id="rId56" Type="http://schemas.openxmlformats.org/officeDocument/2006/relationships/hyperlink" Target="https://instagram.com/byleticiagartner" TargetMode="External"/><Relationship Id="rId57" Type="http://schemas.openxmlformats.org/officeDocument/2006/relationships/hyperlink" Target="https://instagram.com/o.clebernunes" TargetMode="External"/><Relationship Id="rId58" Type="http://schemas.openxmlformats.org/officeDocument/2006/relationships/hyperlink" Target="https://instagram.com/brunamarqes" TargetMode="External"/><Relationship Id="rId59" Type="http://schemas.openxmlformats.org/officeDocument/2006/relationships/hyperlink" Target="https://instagram.com/brunarotta_" TargetMode="External"/><Relationship Id="rId60" Type="http://schemas.openxmlformats.org/officeDocument/2006/relationships/hyperlink" Target="https://instagram.com/letsbalneario" TargetMode="External"/><Relationship Id="rId61" Type="http://schemas.openxmlformats.org/officeDocument/2006/relationships/hyperlink" Target="https://instagram.com/blogueiracamilar" TargetMode="External"/><Relationship Id="rId62" Type="http://schemas.openxmlformats.org/officeDocument/2006/relationships/hyperlink" Target="https://instagram.com/_balneario_camboriu" TargetMode="External"/><Relationship Id="rId63" Type="http://schemas.openxmlformats.org/officeDocument/2006/relationships/hyperlink" Target="https://instagram.com/bccity_" TargetMode="External"/><Relationship Id="rId64" Type="http://schemas.openxmlformats.org/officeDocument/2006/relationships/hyperlink" Target="https://instagram.com/balneariocamboriuemfocoo" TargetMode="External"/><Relationship Id="rId65" Type="http://schemas.openxmlformats.org/officeDocument/2006/relationships/hyperlink" Target="https://instagram.com/kcrespi" TargetMode="External"/><Relationship Id="rId66" Type="http://schemas.openxmlformats.org/officeDocument/2006/relationships/hyperlink" Target="https://instagram.com/maduwebberr" TargetMode="External"/><Relationship Id="rId67" Type="http://schemas.openxmlformats.org/officeDocument/2006/relationships/hyperlink" Target="https://instagram.com/ondeirbc" TargetMode="External"/><Relationship Id="rId68" Type="http://schemas.openxmlformats.org/officeDocument/2006/relationships/hyperlink" Target="https://instagram.com/lugaresdebc" TargetMode="External"/><Relationship Id="rId69" Type="http://schemas.openxmlformats.org/officeDocument/2006/relationships/hyperlink" Target="https://instagram.com/coisasquecomo" TargetMode="External"/><Relationship Id="rId70" Type="http://schemas.openxmlformats.org/officeDocument/2006/relationships/hyperlink" Target="https://instagram.com/eucarolinaalbuquerque" TargetMode="External"/><Relationship Id="rId71" Type="http://schemas.openxmlformats.org/officeDocument/2006/relationships/hyperlink" Target="https://instagram.com/paulafpaiva" TargetMode="External"/><Relationship Id="rId72" Type="http://schemas.openxmlformats.org/officeDocument/2006/relationships/hyperlink" Target="https://instagram.com/leidy_knowles" TargetMode="External"/><Relationship Id="rId73" Type="http://schemas.openxmlformats.org/officeDocument/2006/relationships/hyperlink" Target="https://instagram.com/rolezandoembcc" TargetMode="External"/><Relationship Id="rId74" Type="http://schemas.openxmlformats.org/officeDocument/2006/relationships/hyperlink" Target="https://instagram.com/nicoleborsatto" TargetMode="External"/><Relationship Id="rId75" Type="http://schemas.openxmlformats.org/officeDocument/2006/relationships/hyperlink" Target="https://instagram.com/gabrielabrenda_" TargetMode="External"/><Relationship Id="rId76" Type="http://schemas.openxmlformats.org/officeDocument/2006/relationships/hyperlink" Target="https://instagram.com/dra.alynnegalindo" TargetMode="External"/><Relationship Id="rId77" Type="http://schemas.openxmlformats.org/officeDocument/2006/relationships/hyperlink" Target="https://instagram.com/karina_smaniotto" TargetMode="External"/><Relationship Id="rId78" Type="http://schemas.openxmlformats.org/officeDocument/2006/relationships/hyperlink" Target="https://instagram.com/alanazandonai" TargetMode="External"/><Relationship Id="rId79" Type="http://schemas.openxmlformats.org/officeDocument/2006/relationships/hyperlink" Target="https://instagram.com/balneariomilgrau_" TargetMode="External"/><Relationship Id="rId80" Type="http://schemas.openxmlformats.org/officeDocument/2006/relationships/hyperlink" Target="https://instagram.com/fabioframeup" TargetMode="External"/><Relationship Id="rId81" Type="http://schemas.openxmlformats.org/officeDocument/2006/relationships/hyperlink" Target="https://instagram.com/bcemfotos" TargetMode="External"/><Relationship Id="rId82" Type="http://schemas.openxmlformats.org/officeDocument/2006/relationships/hyperlink" Target="https://instagram.com/letiiciaramosss" TargetMode="External"/><Relationship Id="rId83" Type="http://schemas.openxmlformats.org/officeDocument/2006/relationships/hyperlink" Target="https://instagram.com/paulinhocatarina" TargetMode="External"/><Relationship Id="rId84" Type="http://schemas.openxmlformats.org/officeDocument/2006/relationships/hyperlink" Target="https://instagram.com/scorphousebc" TargetMode="External"/><Relationship Id="rId85" Type="http://schemas.openxmlformats.org/officeDocument/2006/relationships/hyperlink" Target="https://instagram.com/vivipotrich" TargetMode="External"/><Relationship Id="rId86" Type="http://schemas.openxmlformats.org/officeDocument/2006/relationships/hyperlink" Target="https://instagram.com/matheus_ramosc" TargetMode="External"/><Relationship Id="rId87" Type="http://schemas.openxmlformats.org/officeDocument/2006/relationships/hyperlink" Target="https://instagram.com/annarafaellanogueira" TargetMode="External"/><Relationship Id="rId88" Type="http://schemas.openxmlformats.org/officeDocument/2006/relationships/hyperlink" Target="https://instagram.com/balneariocamboriubr" TargetMode="External"/><Relationship Id="rId89" Type="http://schemas.openxmlformats.org/officeDocument/2006/relationships/hyperlink" Target="https://instagram.com/lucianomastria" TargetMode="External"/><Relationship Id="rId90" Type="http://schemas.openxmlformats.org/officeDocument/2006/relationships/hyperlink" Target="https://instagram.com/lidianyazevedocantora" TargetMode="External"/><Relationship Id="rId91" Type="http://schemas.openxmlformats.org/officeDocument/2006/relationships/hyperlink" Target="https://instagram.com/visitebceregiao" TargetMode="External"/><Relationship Id="rId92" Type="http://schemas.openxmlformats.org/officeDocument/2006/relationships/hyperlink" Target="https://instagram.com/ovendedorderua" TargetMode="External"/><Relationship Id="rId93" Type="http://schemas.openxmlformats.org/officeDocument/2006/relationships/hyperlink" Target="https://instagram.com/andresonlindemberg" TargetMode="External"/><Relationship Id="rId94" Type="http://schemas.openxmlformats.org/officeDocument/2006/relationships/hyperlink" Target="https://instagram.com/guilhermefiguero" TargetMode="External"/><Relationship Id="rId95" Type="http://schemas.openxmlformats.org/officeDocument/2006/relationships/hyperlink" Target="https://instagram.com/jessica.santtosp" TargetMode="External"/><Relationship Id="rId96" Type="http://schemas.openxmlformats.org/officeDocument/2006/relationships/hyperlink" Target="https://instagram.com/brunafarias.93" TargetMode="External"/><Relationship Id="rId97" Type="http://schemas.openxmlformats.org/officeDocument/2006/relationships/hyperlink" Target="https://instagram.com/jordanamedeirosb" TargetMode="External"/><Relationship Id="rId98" Type="http://schemas.openxmlformats.org/officeDocument/2006/relationships/hyperlink" Target="https://instagram.com/thiagohlopes.treinador" TargetMode="External"/><Relationship Id="rId99" Type="http://schemas.openxmlformats.org/officeDocument/2006/relationships/hyperlink" Target="https://instagram.com/draamanda_rodrigues" TargetMode="External"/><Relationship Id="rId100" Type="http://schemas.openxmlformats.org/officeDocument/2006/relationships/hyperlink" Target="https://instagram.com/diego7benassi" TargetMode="External"/><Relationship Id="rId101" Type="http://schemas.openxmlformats.org/officeDocument/2006/relationships/hyperlink" Target="https://instagram.com/vanessalesnieski" TargetMode="External"/><Relationship Id="rId102" Type="http://schemas.openxmlformats.org/officeDocument/2006/relationships/hyperlink" Target="https://instagram.com/abnerbernardes__" TargetMode="External"/><Relationship Id="rId103" Type="http://schemas.openxmlformats.org/officeDocument/2006/relationships/hyperlink" Target="https://instagram.com/privieiraorganiza" TargetMode="External"/><Relationship Id="rId104" Type="http://schemas.openxmlformats.org/officeDocument/2006/relationships/hyperlink" Target="https://instagram.com/giseleschmitt___" TargetMode="External"/><Relationship Id="rId105" Type="http://schemas.openxmlformats.org/officeDocument/2006/relationships/hyperlink" Target="https://instagram.com/johnnycashogato" TargetMode="External"/><Relationship Id="rId106" Type="http://schemas.openxmlformats.org/officeDocument/2006/relationships/hyperlink" Target="https://instagram.com/patriciasilvaorganizer" TargetMode="External"/><Relationship Id="rId107" Type="http://schemas.openxmlformats.org/officeDocument/2006/relationships/hyperlink" Target="https://instagram.com/balneariodicas" TargetMode="External"/><Relationship Id="rId108" Type="http://schemas.openxmlformats.org/officeDocument/2006/relationships/hyperlink" Target="https://instagram.com/danymatiasbc" TargetMode="External"/><Relationship Id="rId109" Type="http://schemas.openxmlformats.org/officeDocument/2006/relationships/hyperlink" Target="https://instagram.com/deborahdz" TargetMode="External"/><Relationship Id="rId110" Type="http://schemas.openxmlformats.org/officeDocument/2006/relationships/hyperlink" Target="https://instagram.com/andreiamazzochi_" TargetMode="External"/><Relationship Id="rId111" Type="http://schemas.openxmlformats.org/officeDocument/2006/relationships/hyperlink" Target="https://instagram.com/jazminnnavarro" TargetMode="External"/><Relationship Id="rId112" Type="http://schemas.openxmlformats.org/officeDocument/2006/relationships/hyperlink" Target="https://instagram.com/correbc" TargetMode="External"/><Relationship Id="rId113" Type="http://schemas.openxmlformats.org/officeDocument/2006/relationships/hyperlink" Target="https://instagram.com/maira_l.c" TargetMode="External"/><Relationship Id="rId114" Type="http://schemas.openxmlformats.org/officeDocument/2006/relationships/hyperlink" Target="https://instagram.com/cris_kamph" TargetMode="External"/><Relationship Id="rId115" Type="http://schemas.openxmlformats.org/officeDocument/2006/relationships/hyperlink" Target="https://instagram.com/paolopohlmann" TargetMode="External"/><Relationship Id="rId116" Type="http://schemas.openxmlformats.org/officeDocument/2006/relationships/hyperlink" Target="https://instagram.com/tatianatorresbb" TargetMode="External"/><Relationship Id="rId117" Type="http://schemas.openxmlformats.org/officeDocument/2006/relationships/hyperlink" Target="https://instagram.com/personalmichaeldouglas" TargetMode="External"/><Relationship Id="rId118" Type="http://schemas.openxmlformats.org/officeDocument/2006/relationships/hyperlink" Target="https://instagram.com/paulagarciapersonal" TargetMode="External"/><Relationship Id="rId119" Type="http://schemas.openxmlformats.org/officeDocument/2006/relationships/hyperlink" Target="https://instagram.com/_camilaaltenhofen" TargetMode="External"/><Relationship Id="rId120" Type="http://schemas.openxmlformats.org/officeDocument/2006/relationships/hyperlink" Target="https://instagram.com/karen_personal96" TargetMode="External"/><Relationship Id="rId121" Type="http://schemas.openxmlformats.org/officeDocument/2006/relationships/hyperlink" Target="https://instagram.com/pippo_ramirez" TargetMode="External"/><Relationship Id="rId122" Type="http://schemas.openxmlformats.org/officeDocument/2006/relationships/hyperlink" Target="https://instagram.com/juliovaleriojv" TargetMode="External"/><Relationship Id="rId123" Type="http://schemas.openxmlformats.org/officeDocument/2006/relationships/hyperlink" Target="https://instagram.com/ane.furtado" TargetMode="External"/><Relationship Id="rId124" Type="http://schemas.openxmlformats.org/officeDocument/2006/relationships/hyperlink" Target="https://instagram.com/rochapatriciaj" TargetMode="External"/><Relationship Id="rId125" Type="http://schemas.openxmlformats.org/officeDocument/2006/relationships/hyperlink" Target="https://instagram.com/organizzo.op" TargetMode="External"/><Relationship Id="rId126" Type="http://schemas.openxmlformats.org/officeDocument/2006/relationships/hyperlink" Target="https://instagram.com/gabisc07" TargetMode="External"/><Relationship Id="rId127" Type="http://schemas.openxmlformats.org/officeDocument/2006/relationships/hyperlink" Target="https://instagram.com/rodrigo_silva_ct_cross" TargetMode="External"/><Relationship Id="rId128" Type="http://schemas.openxmlformats.org/officeDocument/2006/relationships/hyperlink" Target="https://instagram.com/gabrmartins" TargetMode="External"/><Relationship Id="rId129" Type="http://schemas.openxmlformats.org/officeDocument/2006/relationships/hyperlink" Target="https://instagram.com/vivabc.joseph" TargetMode="External"/><Relationship Id="rId130" Type="http://schemas.openxmlformats.org/officeDocument/2006/relationships/hyperlink" Target="https://instagram.com/temporadacamboriu" TargetMode="External"/><Relationship Id="rId131" Type="http://schemas.openxmlformats.org/officeDocument/2006/relationships/hyperlink" Target="https://instagram.com/jennioliver1" TargetMode="External"/><Relationship Id="rId132" Type="http://schemas.openxmlformats.org/officeDocument/2006/relationships/hyperlink" Target="https://instagram.com/inessantisbc" TargetMode="External"/><Relationship Id="rId133" Type="http://schemas.openxmlformats.org/officeDocument/2006/relationships/hyperlink" Target="https://instagram.com/personalpaulaff" TargetMode="External"/><Relationship Id="rId134" Type="http://schemas.openxmlformats.org/officeDocument/2006/relationships/hyperlink" Target="https://instagram.com/anacr.m" TargetMode="External"/><Relationship Id="rId135" Type="http://schemas.openxmlformats.org/officeDocument/2006/relationships/hyperlink" Target="https://instagram.com/treinadora_bruwaltrick" TargetMode="External"/><Relationship Id="rId136" Type="http://schemas.openxmlformats.org/officeDocument/2006/relationships/hyperlink" Target="https://instagram.com/alexsandrazarske" TargetMode="External"/><Relationship Id="rId137" Type="http://schemas.openxmlformats.org/officeDocument/2006/relationships/hyperlink" Target="https://instagram.com/bcvibesbc" TargetMode="External"/><Relationship Id="rId138" Type="http://schemas.openxmlformats.org/officeDocument/2006/relationships/hyperlink" Target="https://instagram.com/carlos89martins" TargetMode="External"/><Relationship Id="rId139" Type="http://schemas.openxmlformats.org/officeDocument/2006/relationships/hyperlink" Target="https://instagram.com/fernandavieiraconsultora" TargetMode="External"/><Relationship Id="rId140" Type="http://schemas.openxmlformats.org/officeDocument/2006/relationships/hyperlink" Target="https://instagram.com/mi.frias" TargetMode="External"/><Relationship Id="rId141" Type="http://schemas.openxmlformats.org/officeDocument/2006/relationships/hyperlink" Target="https://instagram.com/balneariocamboriu_cidade" TargetMode="External"/><Relationship Id="rId142" Type="http://schemas.openxmlformats.org/officeDocument/2006/relationships/hyperlink" Target="https://instagram.com/tainaraviau" TargetMode="External"/><Relationship Id="rId143" Type="http://schemas.openxmlformats.org/officeDocument/2006/relationships/hyperlink" Target="https://instagram.com/mmichelemartins" TargetMode="External"/><Relationship Id="rId144" Type="http://schemas.openxmlformats.org/officeDocument/2006/relationships/hyperlink" Target="https://instagram.com/elainesimoesnane" TargetMode="External"/><Relationship Id="rId145" Type="http://schemas.openxmlformats.org/officeDocument/2006/relationships/hyperlink" Target="https://instagram.com/amitalendo" TargetMode="External"/><Relationship Id="rId146" Type="http://schemas.openxmlformats.org/officeDocument/2006/relationships/hyperlink" Target="https://instagram.com/luujohann" TargetMode="External"/><Relationship Id="rId147" Type="http://schemas.openxmlformats.org/officeDocument/2006/relationships/hyperlink" Target="https://instagram.com/deluccamartins" TargetMode="External"/><Relationship Id="rId148" Type="http://schemas.openxmlformats.org/officeDocument/2006/relationships/hyperlink" Target="https://instagram.com/julianamaestri.bessani.psico" TargetMode="External"/><Relationship Id="rId149" Type="http://schemas.openxmlformats.org/officeDocument/2006/relationships/hyperlink" Target="https://instagram.com/tudodeitapema" TargetMode="External"/><Relationship Id="rId150" Type="http://schemas.openxmlformats.org/officeDocument/2006/relationships/hyperlink" Target="https://instagram.com/suellyns" TargetMode="External"/><Relationship Id="rId151" Type="http://schemas.openxmlformats.org/officeDocument/2006/relationships/hyperlink" Target="https://instagram.com/guimelo8" TargetMode="External"/><Relationship Id="rId152" Type="http://schemas.openxmlformats.org/officeDocument/2006/relationships/hyperlink" Target="https://instagram.com/carolschultzofc" TargetMode="External"/><Relationship Id="rId153" Type="http://schemas.openxmlformats.org/officeDocument/2006/relationships/hyperlink" Target="https://instagram.com/itapemaphotos" TargetMode="External"/><Relationship Id="rId154" Type="http://schemas.openxmlformats.org/officeDocument/2006/relationships/hyperlink" Target="https://instagram.com/olhardeitapema" TargetMode="External"/><Relationship Id="rId155" Type="http://schemas.openxmlformats.org/officeDocument/2006/relationships/hyperlink" Target="https://instagram.com/_viva_itapema" TargetMode="External"/><Relationship Id="rId156" Type="http://schemas.openxmlformats.org/officeDocument/2006/relationships/hyperlink" Target="https://instagram.com/negojoe" TargetMode="External"/><Relationship Id="rId157" Type="http://schemas.openxmlformats.org/officeDocument/2006/relationships/hyperlink" Target="https://instagram.com/falaitapema" TargetMode="External"/><Relationship Id="rId158" Type="http://schemas.openxmlformats.org/officeDocument/2006/relationships/hyperlink" Target="https://instagram.com/jessicaaolivei" TargetMode="External"/><Relationship Id="rId159" Type="http://schemas.openxmlformats.org/officeDocument/2006/relationships/hyperlink" Target="https://instagram.com/kamillesilveiraa_" TargetMode="External"/><Relationship Id="rId160" Type="http://schemas.openxmlformats.org/officeDocument/2006/relationships/hyperlink" Target="https://instagram.com/eduardoinvest.bc" TargetMode="External"/><Relationship Id="rId161" Type="http://schemas.openxmlformats.org/officeDocument/2006/relationships/hyperlink" Target="https://instagram.com/brunomarques_sc" TargetMode="External"/><Relationship Id="rId162" Type="http://schemas.openxmlformats.org/officeDocument/2006/relationships/hyperlink" Target="https://instagram.com/itapemabeach_" TargetMode="External"/><Relationship Id="rId163" Type="http://schemas.openxmlformats.org/officeDocument/2006/relationships/hyperlink" Target="https://instagram.com/silmarodesenhos" TargetMode="External"/><Relationship Id="rId164" Type="http://schemas.openxmlformats.org/officeDocument/2006/relationships/hyperlink" Target="https://instagram.com/carloshenrique.ads_" TargetMode="External"/><Relationship Id="rId165" Type="http://schemas.openxmlformats.org/officeDocument/2006/relationships/hyperlink" Target="https://instagram.com/vivi_balneariocamboriu" TargetMode="External"/><Relationship Id="rId166" Type="http://schemas.openxmlformats.org/officeDocument/2006/relationships/hyperlink" Target="https://instagram.com/karolina_mary" TargetMode="External"/><Relationship Id="rId167" Type="http://schemas.openxmlformats.org/officeDocument/2006/relationships/hyperlink" Target="https://instagram.com/joseelacerdaa" TargetMode="External"/><Relationship Id="rId168" Type="http://schemas.openxmlformats.org/officeDocument/2006/relationships/hyperlink" Target="https://instagram.com/nery_karolpersonal" TargetMode="External"/><Relationship Id="rId169" Type="http://schemas.openxmlformats.org/officeDocument/2006/relationships/hyperlink" Target="https://instagram.com/click.itapema" TargetMode="External"/><Relationship Id="rId170" Type="http://schemas.openxmlformats.org/officeDocument/2006/relationships/hyperlink" Target="https://instagram.com/terapeuta.dianabrandao" TargetMode="External"/><Relationship Id="rId171" Type="http://schemas.openxmlformats.org/officeDocument/2006/relationships/hyperlink" Target="https://instagram.com/heber.oliveira.pesca_de_praia" TargetMode="External"/><Relationship Id="rId172" Type="http://schemas.openxmlformats.org/officeDocument/2006/relationships/hyperlink" Target="https://instagram.com/camila_paloschi" TargetMode="External"/><Relationship Id="rId173" Type="http://schemas.openxmlformats.org/officeDocument/2006/relationships/hyperlink" Target="https://instagram.com/kaleujr" TargetMode="External"/><Relationship Id="rId174" Type="http://schemas.openxmlformats.org/officeDocument/2006/relationships/hyperlink" Target="https://instagram.com/rafajenei" TargetMode="External"/><Relationship Id="rId175" Type="http://schemas.openxmlformats.org/officeDocument/2006/relationships/hyperlink" Target="https://instagram.com/palomakehll" TargetMode="External"/><Relationship Id="rId176" Type="http://schemas.openxmlformats.org/officeDocument/2006/relationships/hyperlink" Target="https://instagram.com/flaviabruguer" TargetMode="External"/><Relationship Id="rId177" Type="http://schemas.openxmlformats.org/officeDocument/2006/relationships/hyperlink" Target="https://instagram.com/thaismurarotrainer" TargetMode="External"/><Relationship Id="rId178" Type="http://schemas.openxmlformats.org/officeDocument/2006/relationships/hyperlink" Target="https://instagram.com/machado.gi_" TargetMode="External"/><Relationship Id="rId179" Type="http://schemas.openxmlformats.org/officeDocument/2006/relationships/hyperlink" Target="https://instagram.com/boas_dicas_bc" TargetMode="External"/><Relationship Id="rId180" Type="http://schemas.openxmlformats.org/officeDocument/2006/relationships/hyperlink" Target="https://instagram.com/analeite0615" TargetMode="External"/><Relationship Id="rId181" Type="http://schemas.openxmlformats.org/officeDocument/2006/relationships/hyperlink" Target="https://instagram.com/tanise_vieira_" TargetMode="External"/><Relationship Id="rId182" Type="http://schemas.openxmlformats.org/officeDocument/2006/relationships/hyperlink" Target="https://instagram.com/andreiamourasc" TargetMode="External"/><Relationship Id="rId183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instagram.com/thaisedemari" TargetMode="External"/><Relationship Id="rId2" Type="http://schemas.openxmlformats.org/officeDocument/2006/relationships/hyperlink" Target="https://instagram.com/lucasmirandasc" TargetMode="External"/><Relationship Id="rId3" Type="http://schemas.openxmlformats.org/officeDocument/2006/relationships/hyperlink" Target="https://instagram.com/superdicasnaestrada" TargetMode="External"/><Relationship Id="rId4" Type="http://schemas.openxmlformats.org/officeDocument/2006/relationships/hyperlink" Target="https://instagram.com/raissaarcanjo" TargetMode="External"/><Relationship Id="rId5" Type="http://schemas.openxmlformats.org/officeDocument/2006/relationships/hyperlink" Target="https://instagram.com/itajaisc_" TargetMode="External"/><Relationship Id="rId6" Type="http://schemas.openxmlformats.org/officeDocument/2006/relationships/hyperlink" Target="https://instagram.com/nubiakatyoficial" TargetMode="External"/><Relationship Id="rId7" Type="http://schemas.openxmlformats.org/officeDocument/2006/relationships/hyperlink" Target="https://instagram.com/eogriilo" TargetMode="External"/><Relationship Id="rId8" Type="http://schemas.openxmlformats.org/officeDocument/2006/relationships/hyperlink" Target="https://instagram.com/gabryelnuness" TargetMode="External"/><Relationship Id="rId9" Type="http://schemas.openxmlformats.org/officeDocument/2006/relationships/hyperlink" Target="https://instagram.com/julianadomareski" TargetMode="External"/><Relationship Id="rId10" Type="http://schemas.openxmlformats.org/officeDocument/2006/relationships/hyperlink" Target="https://instagram.com/gabyoliveirasc" TargetMode="External"/><Relationship Id="rId11" Type="http://schemas.openxmlformats.org/officeDocument/2006/relationships/hyperlink" Target="https://instagram.com/tatypassos__" TargetMode="External"/><Relationship Id="rId12" Type="http://schemas.openxmlformats.org/officeDocument/2006/relationships/hyperlink" Target="https://instagram.com/toemdrika" TargetMode="External"/><Relationship Id="rId13" Type="http://schemas.openxmlformats.org/officeDocument/2006/relationships/hyperlink" Target="https://instagram.com/mordomorodrigo_oficial" TargetMode="External"/><Relationship Id="rId14" Type="http://schemas.openxmlformats.org/officeDocument/2006/relationships/hyperlink" Target="https://instagram.com/herique.finatto" TargetMode="External"/><Relationship Id="rId15" Type="http://schemas.openxmlformats.org/officeDocument/2006/relationships/hyperlink" Target="https://instagram.com/shophome.brasil" TargetMode="External"/><Relationship Id="rId16" Type="http://schemas.openxmlformats.org/officeDocument/2006/relationships/hyperlink" Target="https://instagram.com/isabelaonofre" TargetMode="External"/><Relationship Id="rId17" Type="http://schemas.openxmlformats.org/officeDocument/2006/relationships/hyperlink" Target="https://instagram.com/bevieiraa" TargetMode="External"/><Relationship Id="rId18" Type="http://schemas.openxmlformats.org/officeDocument/2006/relationships/hyperlink" Target="https://instagram.com/melissagmenezes" TargetMode="External"/><Relationship Id="rId19" Type="http://schemas.openxmlformats.org/officeDocument/2006/relationships/hyperlink" Target="https://instagram.com/divulgaitajai" TargetMode="External"/><Relationship Id="rId20" Type="http://schemas.openxmlformats.org/officeDocument/2006/relationships/hyperlink" Target="https://instagram.com/solaynesantos" TargetMode="External"/><Relationship Id="rId21" Type="http://schemas.openxmlformats.org/officeDocument/2006/relationships/hyperlink" Target="https://instagram.com/brigadeiroealecrim" TargetMode="External"/><Relationship Id="rId22" Type="http://schemas.openxmlformats.org/officeDocument/2006/relationships/hyperlink" Target="https://instagram.com/eubarbaraabreu" TargetMode="External"/><Relationship Id="rId23" Type="http://schemas.openxmlformats.org/officeDocument/2006/relationships/hyperlink" Target="https://instagram.com/omelhordeitajai" TargetMode="External"/><Relationship Id="rId24" Type="http://schemas.openxmlformats.org/officeDocument/2006/relationships/hyperlink" Target="https://instagram.com/lu.monaly" TargetMode="External"/><Relationship Id="rId25" Type="http://schemas.openxmlformats.org/officeDocument/2006/relationships/hyperlink" Target="https://instagram.com/cademinhascoisas" TargetMode="External"/><Relationship Id="rId26" Type="http://schemas.openxmlformats.org/officeDocument/2006/relationships/hyperlink" Target="https://instagram.com/bruna_alika" TargetMode="External"/><Relationship Id="rId27" Type="http://schemas.openxmlformats.org/officeDocument/2006/relationships/hyperlink" Target="https://instagram.com/millycristt" TargetMode="External"/><Relationship Id="rId28" Type="http://schemas.openxmlformats.org/officeDocument/2006/relationships/hyperlink" Target="https://instagram.com/thais_araujo.7" TargetMode="External"/><Relationship Id="rId29" Type="http://schemas.openxmlformats.org/officeDocument/2006/relationships/hyperlink" Target="https://instagram.com/gabxmelo" TargetMode="External"/><Relationship Id="rId30" Type="http://schemas.openxmlformats.org/officeDocument/2006/relationships/hyperlink" Target="https://instagram.com/joanakathelen" TargetMode="External"/><Relationship Id="rId31" Type="http://schemas.openxmlformats.org/officeDocument/2006/relationships/hyperlink" Target="https://instagram.com/n1kx_x" TargetMode="External"/><Relationship Id="rId32" Type="http://schemas.openxmlformats.org/officeDocument/2006/relationships/hyperlink" Target="https://instagram.com/itajaimilgr4u" TargetMode="External"/><Relationship Id="rId33" Type="http://schemas.openxmlformats.org/officeDocument/2006/relationships/hyperlink" Target="https://instagram.com/danielipickering" TargetMode="External"/><Relationship Id="rId34" Type="http://schemas.openxmlformats.org/officeDocument/2006/relationships/hyperlink" Target="https://instagram.com/ana_paula_videomaker" TargetMode="External"/><Relationship Id="rId35" Type="http://schemas.openxmlformats.org/officeDocument/2006/relationships/hyperlink" Target="https://instagram.com/marcelabontorin" TargetMode="External"/><Relationship Id="rId36" Type="http://schemas.openxmlformats.org/officeDocument/2006/relationships/hyperlink" Target="https://instagram.com/tonsdeana" TargetMode="External"/><Relationship Id="rId37" Type="http://schemas.openxmlformats.org/officeDocument/2006/relationships/hyperlink" Target="https://instagram.com/brunasamanthas" TargetMode="External"/><Relationship Id="rId38" Type="http://schemas.openxmlformats.org/officeDocument/2006/relationships/hyperlink" Target="https://instagram.com/andreza.marinho_22" TargetMode="External"/><Relationship Id="rId39" Type="http://schemas.openxmlformats.org/officeDocument/2006/relationships/hyperlink" Target="https://instagram.com/brunoleon.blm" TargetMode="External"/><Relationship Id="rId40" Type="http://schemas.openxmlformats.org/officeDocument/2006/relationships/hyperlink" Target="https://instagram.com/karinawbauer" TargetMode="External"/><Relationship Id="rId41" Type="http://schemas.openxmlformats.org/officeDocument/2006/relationships/hyperlink" Target="https://instagram.com/rurikdrone" TargetMode="External"/><Relationship Id="rId42" Type="http://schemas.openxmlformats.org/officeDocument/2006/relationships/hyperlink" Target="https://instagram.com/annacarolgarimpo" TargetMode="External"/><Relationship Id="rId43" Type="http://schemas.openxmlformats.org/officeDocument/2006/relationships/hyperlink" Target="https://instagram.com/enfbapereira" TargetMode="External"/><Relationship Id="rId44" Type="http://schemas.openxmlformats.org/officeDocument/2006/relationships/hyperlink" Target="https://instagram.com/isabbelle_m" TargetMode="External"/><Relationship Id="rId45" Type="http://schemas.openxmlformats.org/officeDocument/2006/relationships/hyperlink" Target="https://instagram.com/eudanielabonet" TargetMode="External"/><Relationship Id="rId46" Type="http://schemas.openxmlformats.org/officeDocument/2006/relationships/hyperlink" Target="https://instagram.com/psicologademae" TargetMode="External"/><Relationship Id="rId47" Type="http://schemas.openxmlformats.org/officeDocument/2006/relationships/hyperlink" Target="https://instagram.com/rafaeldoutore" TargetMode="External"/><Relationship Id="rId48" Type="http://schemas.openxmlformats.org/officeDocument/2006/relationships/hyperlink" Target="https://instagram.com/treinador_veiga" TargetMode="External"/><Relationship Id="rId49" Type="http://schemas.openxmlformats.org/officeDocument/2006/relationships/hyperlink" Target="https://instagram.com/clebercoragem" TargetMode="External"/><Relationship Id="rId50" Type="http://schemas.openxmlformats.org/officeDocument/2006/relationships/hyperlink" Target="https://instagram.com/amandadumbrofsqui" TargetMode="External"/><Relationship Id="rId51" Type="http://schemas.openxmlformats.org/officeDocument/2006/relationships/hyperlink" Target="https://instagram.com/leandrogatelli_personal" TargetMode="External"/><Relationship Id="rId52" Type="http://schemas.openxmlformats.org/officeDocument/2006/relationships/hyperlink" Target="https://instagram.com/ddiegoo.martins" TargetMode="External"/><Relationship Id="rId53" Type="http://schemas.openxmlformats.org/officeDocument/2006/relationships/hyperlink" Target="https://instagram.com/silviaandreamota" TargetMode="External"/><Relationship Id="rId54" Type="http://schemas.openxmlformats.org/officeDocument/2006/relationships/hyperlink" Target="https://instagram.com/doulacriscurvello" TargetMode="External"/><Relationship Id="rId55" Type="http://schemas.openxmlformats.org/officeDocument/2006/relationships/hyperlink" Target="https://instagram.com/personalorganizer.karen" TargetMode="External"/><Relationship Id="rId56" Type="http://schemas.openxmlformats.org/officeDocument/2006/relationships/hyperlink" Target="https://instagram.com/byleticiagartner" TargetMode="External"/><Relationship Id="rId57" Type="http://schemas.openxmlformats.org/officeDocument/2006/relationships/hyperlink" Target="https://instagram.com/o.clebernunes" TargetMode="External"/><Relationship Id="rId58" Type="http://schemas.openxmlformats.org/officeDocument/2006/relationships/hyperlink" Target="https://instagram.com/brunamarqes" TargetMode="External"/><Relationship Id="rId59" Type="http://schemas.openxmlformats.org/officeDocument/2006/relationships/hyperlink" Target="https://instagram.com/ondeirbc" TargetMode="External"/><Relationship Id="rId60" Type="http://schemas.openxmlformats.org/officeDocument/2006/relationships/hyperlink" Target="https://instagram.com/coisasquecomo" TargetMode="External"/><Relationship Id="rId61" Type="http://schemas.openxmlformats.org/officeDocument/2006/relationships/hyperlink" Target="https://instagram.com/eucarolinaalbuquerque" TargetMode="External"/><Relationship Id="rId62" Type="http://schemas.openxmlformats.org/officeDocument/2006/relationships/hyperlink" Target="https://instagram.com/balneariomilgrau_" TargetMode="External"/><Relationship Id="rId63" Type="http://schemas.openxmlformats.org/officeDocument/2006/relationships/hyperlink" Target="https://instagram.com/vivipotrich" TargetMode="External"/><Relationship Id="rId64" Type="http://schemas.openxmlformats.org/officeDocument/2006/relationships/hyperlink" Target="https://instagram.com/lidianyazevedocantora" TargetMode="External"/><Relationship Id="rId65" Type="http://schemas.openxmlformats.org/officeDocument/2006/relationships/hyperlink" Target="https://instagram.com/patriciasilvaorganizer" TargetMode="External"/><Relationship Id="rId66" Type="http://schemas.openxmlformats.org/officeDocument/2006/relationships/hyperlink" Target="https://instagram.com/_camilaaltenhofen" TargetMode="External"/><Relationship Id="rId67" Type="http://schemas.openxmlformats.org/officeDocument/2006/relationships/hyperlink" Target="https://instagram.com/personalpaulaff" TargetMode="External"/><Relationship Id="rId68" Type="http://schemas.openxmlformats.org/officeDocument/2006/relationships/hyperlink" Target="https://instagram.com/carlos89martins" TargetMode="External"/><Relationship Id="rId69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instagram.com/julianadomareski" TargetMode="External"/><Relationship Id="rId2" Type="http://schemas.openxmlformats.org/officeDocument/2006/relationships/hyperlink" Target="https://instagram.com/tatypassos__" TargetMode="External"/><Relationship Id="rId3" Type="http://schemas.openxmlformats.org/officeDocument/2006/relationships/hyperlink" Target="https://instagram.com/shophome.brasil" TargetMode="External"/><Relationship Id="rId4" Type="http://schemas.openxmlformats.org/officeDocument/2006/relationships/hyperlink" Target="https://instagram.com/isabelaonofre" TargetMode="External"/><Relationship Id="rId5" Type="http://schemas.openxmlformats.org/officeDocument/2006/relationships/hyperlink" Target="https://instagram.com/solaynesantos" TargetMode="External"/><Relationship Id="rId6" Type="http://schemas.openxmlformats.org/officeDocument/2006/relationships/hyperlink" Target="https://instagram.com/itajaimilgr4u" TargetMode="External"/><Relationship Id="rId7" Type="http://schemas.openxmlformats.org/officeDocument/2006/relationships/hyperlink" Target="https://instagram.com/rurikdrone" TargetMode="External"/><Relationship Id="rId8" Type="http://schemas.openxmlformats.org/officeDocument/2006/relationships/hyperlink" Target="https://instagram.com/isabbelle_m" TargetMode="External"/><Relationship Id="rId9" Type="http://schemas.openxmlformats.org/officeDocument/2006/relationships/hyperlink" Target="https://instagram.com/ddiegoo.martins" TargetMode="External"/><Relationship Id="rId10" Type="http://schemas.openxmlformats.org/officeDocument/2006/relationships/hyperlink" Target="https://instagram.com/brunarotta_" TargetMode="External"/><Relationship Id="rId11" Type="http://schemas.openxmlformats.org/officeDocument/2006/relationships/hyperlink" Target="https://instagram.com/letsbalneario" TargetMode="External"/><Relationship Id="rId12" Type="http://schemas.openxmlformats.org/officeDocument/2006/relationships/hyperlink" Target="https://instagram.com/blogueiracamilar" TargetMode="External"/><Relationship Id="rId13" Type="http://schemas.openxmlformats.org/officeDocument/2006/relationships/hyperlink" Target="https://instagram.com/_balneario_camboriu" TargetMode="External"/><Relationship Id="rId14" Type="http://schemas.openxmlformats.org/officeDocument/2006/relationships/hyperlink" Target="https://instagram.com/bccity_" TargetMode="External"/><Relationship Id="rId15" Type="http://schemas.openxmlformats.org/officeDocument/2006/relationships/hyperlink" Target="https://instagram.com/balneariocamboriuemfocoo" TargetMode="External"/><Relationship Id="rId16" Type="http://schemas.openxmlformats.org/officeDocument/2006/relationships/hyperlink" Target="https://instagram.com/kcrespi" TargetMode="External"/><Relationship Id="rId17" Type="http://schemas.openxmlformats.org/officeDocument/2006/relationships/hyperlink" Target="https://instagram.com/maduwebberr" TargetMode="External"/><Relationship Id="rId18" Type="http://schemas.openxmlformats.org/officeDocument/2006/relationships/hyperlink" Target="https://instagram.com/ondeirbc" TargetMode="External"/><Relationship Id="rId19" Type="http://schemas.openxmlformats.org/officeDocument/2006/relationships/hyperlink" Target="https://instagram.com/lugaresdebc" TargetMode="External"/><Relationship Id="rId20" Type="http://schemas.openxmlformats.org/officeDocument/2006/relationships/hyperlink" Target="https://instagram.com/coisasquecomo" TargetMode="External"/><Relationship Id="rId21" Type="http://schemas.openxmlformats.org/officeDocument/2006/relationships/hyperlink" Target="https://instagram.com/eucarolinaalbuquerque" TargetMode="External"/><Relationship Id="rId22" Type="http://schemas.openxmlformats.org/officeDocument/2006/relationships/hyperlink" Target="https://instagram.com/paulafpaiva" TargetMode="External"/><Relationship Id="rId23" Type="http://schemas.openxmlformats.org/officeDocument/2006/relationships/hyperlink" Target="https://instagram.com/leidy_knowles" TargetMode="External"/><Relationship Id="rId24" Type="http://schemas.openxmlformats.org/officeDocument/2006/relationships/hyperlink" Target="https://instagram.com/rolezandoembcc" TargetMode="External"/><Relationship Id="rId25" Type="http://schemas.openxmlformats.org/officeDocument/2006/relationships/hyperlink" Target="https://instagram.com/nicoleborsatto" TargetMode="External"/><Relationship Id="rId26" Type="http://schemas.openxmlformats.org/officeDocument/2006/relationships/hyperlink" Target="https://instagram.com/gabrielabrenda_" TargetMode="External"/><Relationship Id="rId27" Type="http://schemas.openxmlformats.org/officeDocument/2006/relationships/hyperlink" Target="https://instagram.com/dra.alynnegalindo" TargetMode="External"/><Relationship Id="rId28" Type="http://schemas.openxmlformats.org/officeDocument/2006/relationships/hyperlink" Target="https://instagram.com/karina_smaniotto" TargetMode="External"/><Relationship Id="rId29" Type="http://schemas.openxmlformats.org/officeDocument/2006/relationships/hyperlink" Target="https://instagram.com/alanazandonai" TargetMode="External"/><Relationship Id="rId30" Type="http://schemas.openxmlformats.org/officeDocument/2006/relationships/hyperlink" Target="https://instagram.com/balneariomilgrau_" TargetMode="External"/><Relationship Id="rId31" Type="http://schemas.openxmlformats.org/officeDocument/2006/relationships/hyperlink" Target="https://instagram.com/fabioframeup" TargetMode="External"/><Relationship Id="rId32" Type="http://schemas.openxmlformats.org/officeDocument/2006/relationships/hyperlink" Target="https://instagram.com/bcemfotos" TargetMode="External"/><Relationship Id="rId33" Type="http://schemas.openxmlformats.org/officeDocument/2006/relationships/hyperlink" Target="https://instagram.com/letiiciaramosss" TargetMode="External"/><Relationship Id="rId34" Type="http://schemas.openxmlformats.org/officeDocument/2006/relationships/hyperlink" Target="https://instagram.com/paulinhocatarina" TargetMode="External"/><Relationship Id="rId35" Type="http://schemas.openxmlformats.org/officeDocument/2006/relationships/hyperlink" Target="https://instagram.com/scorphousebc" TargetMode="External"/><Relationship Id="rId36" Type="http://schemas.openxmlformats.org/officeDocument/2006/relationships/hyperlink" Target="https://instagram.com/vivipotrich" TargetMode="External"/><Relationship Id="rId37" Type="http://schemas.openxmlformats.org/officeDocument/2006/relationships/hyperlink" Target="https://instagram.com/matheus_ramosc" TargetMode="External"/><Relationship Id="rId38" Type="http://schemas.openxmlformats.org/officeDocument/2006/relationships/hyperlink" Target="https://instagram.com/annarafaellanogueira" TargetMode="External"/><Relationship Id="rId39" Type="http://schemas.openxmlformats.org/officeDocument/2006/relationships/hyperlink" Target="https://instagram.com/balneariocamboriubr" TargetMode="External"/><Relationship Id="rId40" Type="http://schemas.openxmlformats.org/officeDocument/2006/relationships/hyperlink" Target="https://instagram.com/lucianomastria" TargetMode="External"/><Relationship Id="rId41" Type="http://schemas.openxmlformats.org/officeDocument/2006/relationships/hyperlink" Target="https://instagram.com/lidianyazevedocantora" TargetMode="External"/><Relationship Id="rId42" Type="http://schemas.openxmlformats.org/officeDocument/2006/relationships/hyperlink" Target="https://instagram.com/visitebceregiao" TargetMode="External"/><Relationship Id="rId43" Type="http://schemas.openxmlformats.org/officeDocument/2006/relationships/hyperlink" Target="https://instagram.com/ovendedorderua" TargetMode="External"/><Relationship Id="rId44" Type="http://schemas.openxmlformats.org/officeDocument/2006/relationships/hyperlink" Target="https://instagram.com/andresonlindemberg" TargetMode="External"/><Relationship Id="rId45" Type="http://schemas.openxmlformats.org/officeDocument/2006/relationships/hyperlink" Target="https://instagram.com/guilhermefiguero" TargetMode="External"/><Relationship Id="rId46" Type="http://schemas.openxmlformats.org/officeDocument/2006/relationships/hyperlink" Target="https://instagram.com/jessica.santtosp" TargetMode="External"/><Relationship Id="rId47" Type="http://schemas.openxmlformats.org/officeDocument/2006/relationships/hyperlink" Target="https://instagram.com/brunafarias.93" TargetMode="External"/><Relationship Id="rId48" Type="http://schemas.openxmlformats.org/officeDocument/2006/relationships/hyperlink" Target="https://instagram.com/jordanamedeirosb" TargetMode="External"/><Relationship Id="rId49" Type="http://schemas.openxmlformats.org/officeDocument/2006/relationships/hyperlink" Target="https://instagram.com/thiagohlopes.treinador" TargetMode="External"/><Relationship Id="rId50" Type="http://schemas.openxmlformats.org/officeDocument/2006/relationships/hyperlink" Target="https://instagram.com/draamanda_rodrigues" TargetMode="External"/><Relationship Id="rId51" Type="http://schemas.openxmlformats.org/officeDocument/2006/relationships/hyperlink" Target="https://instagram.com/diego7benassi" TargetMode="External"/><Relationship Id="rId52" Type="http://schemas.openxmlformats.org/officeDocument/2006/relationships/hyperlink" Target="https://instagram.com/vanessalesnieski" TargetMode="External"/><Relationship Id="rId53" Type="http://schemas.openxmlformats.org/officeDocument/2006/relationships/hyperlink" Target="https://instagram.com/abnerbernardes__" TargetMode="External"/><Relationship Id="rId54" Type="http://schemas.openxmlformats.org/officeDocument/2006/relationships/hyperlink" Target="https://instagram.com/privieiraorganiza" TargetMode="External"/><Relationship Id="rId55" Type="http://schemas.openxmlformats.org/officeDocument/2006/relationships/hyperlink" Target="https://instagram.com/giseleschmitt___" TargetMode="External"/><Relationship Id="rId56" Type="http://schemas.openxmlformats.org/officeDocument/2006/relationships/hyperlink" Target="https://instagram.com/johnnycashogato" TargetMode="External"/><Relationship Id="rId57" Type="http://schemas.openxmlformats.org/officeDocument/2006/relationships/hyperlink" Target="https://instagram.com/patriciasilvaorganizer" TargetMode="External"/><Relationship Id="rId58" Type="http://schemas.openxmlformats.org/officeDocument/2006/relationships/hyperlink" Target="https://instagram.com/balneariodicas" TargetMode="External"/><Relationship Id="rId59" Type="http://schemas.openxmlformats.org/officeDocument/2006/relationships/hyperlink" Target="https://instagram.com/danymatiasbc" TargetMode="External"/><Relationship Id="rId60" Type="http://schemas.openxmlformats.org/officeDocument/2006/relationships/hyperlink" Target="https://instagram.com/deborahdz" TargetMode="External"/><Relationship Id="rId61" Type="http://schemas.openxmlformats.org/officeDocument/2006/relationships/hyperlink" Target="https://instagram.com/andreiamazzochi_" TargetMode="External"/><Relationship Id="rId62" Type="http://schemas.openxmlformats.org/officeDocument/2006/relationships/hyperlink" Target="https://instagram.com/jazminnnavarro" TargetMode="External"/><Relationship Id="rId63" Type="http://schemas.openxmlformats.org/officeDocument/2006/relationships/hyperlink" Target="https://instagram.com/correbc" TargetMode="External"/><Relationship Id="rId64" Type="http://schemas.openxmlformats.org/officeDocument/2006/relationships/hyperlink" Target="https://instagram.com/maira_l.c" TargetMode="External"/><Relationship Id="rId65" Type="http://schemas.openxmlformats.org/officeDocument/2006/relationships/hyperlink" Target="https://instagram.com/cris_kamph" TargetMode="External"/><Relationship Id="rId66" Type="http://schemas.openxmlformats.org/officeDocument/2006/relationships/hyperlink" Target="https://instagram.com/paolopohlmann" TargetMode="External"/><Relationship Id="rId67" Type="http://schemas.openxmlformats.org/officeDocument/2006/relationships/hyperlink" Target="https://instagram.com/tatianatorresbb" TargetMode="External"/><Relationship Id="rId68" Type="http://schemas.openxmlformats.org/officeDocument/2006/relationships/hyperlink" Target="https://instagram.com/personalmichaeldouglas" TargetMode="External"/><Relationship Id="rId69" Type="http://schemas.openxmlformats.org/officeDocument/2006/relationships/hyperlink" Target="https://instagram.com/paulagarciapersonal" TargetMode="External"/><Relationship Id="rId70" Type="http://schemas.openxmlformats.org/officeDocument/2006/relationships/hyperlink" Target="https://instagram.com/_camilaaltenhofen" TargetMode="External"/><Relationship Id="rId71" Type="http://schemas.openxmlformats.org/officeDocument/2006/relationships/hyperlink" Target="https://instagram.com/karen_personal96" TargetMode="External"/><Relationship Id="rId72" Type="http://schemas.openxmlformats.org/officeDocument/2006/relationships/hyperlink" Target="https://instagram.com/pippo_ramirez" TargetMode="External"/><Relationship Id="rId73" Type="http://schemas.openxmlformats.org/officeDocument/2006/relationships/hyperlink" Target="https://instagram.com/juliovaleriojv" TargetMode="External"/><Relationship Id="rId74" Type="http://schemas.openxmlformats.org/officeDocument/2006/relationships/hyperlink" Target="https://instagram.com/ane.furtado" TargetMode="External"/><Relationship Id="rId75" Type="http://schemas.openxmlformats.org/officeDocument/2006/relationships/hyperlink" Target="https://instagram.com/rochapatriciaj" TargetMode="External"/><Relationship Id="rId76" Type="http://schemas.openxmlformats.org/officeDocument/2006/relationships/hyperlink" Target="https://instagram.com/organizzo.op" TargetMode="External"/><Relationship Id="rId77" Type="http://schemas.openxmlformats.org/officeDocument/2006/relationships/hyperlink" Target="https://instagram.com/gabisc07" TargetMode="External"/><Relationship Id="rId78" Type="http://schemas.openxmlformats.org/officeDocument/2006/relationships/hyperlink" Target="https://instagram.com/rodrigo_silva_ct_cross" TargetMode="External"/><Relationship Id="rId79" Type="http://schemas.openxmlformats.org/officeDocument/2006/relationships/hyperlink" Target="https://instagram.com/gabrmartins" TargetMode="External"/><Relationship Id="rId80" Type="http://schemas.openxmlformats.org/officeDocument/2006/relationships/hyperlink" Target="https://instagram.com/vivabc.joseph" TargetMode="External"/><Relationship Id="rId81" Type="http://schemas.openxmlformats.org/officeDocument/2006/relationships/hyperlink" Target="https://instagram.com/temporadacamboriu" TargetMode="External"/><Relationship Id="rId82" Type="http://schemas.openxmlformats.org/officeDocument/2006/relationships/hyperlink" Target="https://instagram.com/jennioliver1" TargetMode="External"/><Relationship Id="rId83" Type="http://schemas.openxmlformats.org/officeDocument/2006/relationships/hyperlink" Target="https://instagram.com/inessantisbc" TargetMode="External"/><Relationship Id="rId84" Type="http://schemas.openxmlformats.org/officeDocument/2006/relationships/hyperlink" Target="https://instagram.com/personalpaulaff" TargetMode="External"/><Relationship Id="rId85" Type="http://schemas.openxmlformats.org/officeDocument/2006/relationships/hyperlink" Target="https://instagram.com/anacr.m" TargetMode="External"/><Relationship Id="rId86" Type="http://schemas.openxmlformats.org/officeDocument/2006/relationships/hyperlink" Target="https://instagram.com/treinadora_bruwaltrick" TargetMode="External"/><Relationship Id="rId87" Type="http://schemas.openxmlformats.org/officeDocument/2006/relationships/hyperlink" Target="https://instagram.com/alexsandrazarske" TargetMode="External"/><Relationship Id="rId88" Type="http://schemas.openxmlformats.org/officeDocument/2006/relationships/hyperlink" Target="https://instagram.com/bcvibesbc" TargetMode="External"/><Relationship Id="rId89" Type="http://schemas.openxmlformats.org/officeDocument/2006/relationships/hyperlink" Target="https://instagram.com/carlos89martins" TargetMode="External"/><Relationship Id="rId90" Type="http://schemas.openxmlformats.org/officeDocument/2006/relationships/hyperlink" Target="https://instagram.com/fernandavieiraconsultora" TargetMode="External"/><Relationship Id="rId91" Type="http://schemas.openxmlformats.org/officeDocument/2006/relationships/hyperlink" Target="https://instagram.com/mi.frias" TargetMode="External"/><Relationship Id="rId92" Type="http://schemas.openxmlformats.org/officeDocument/2006/relationships/hyperlink" Target="https://instagram.com/balneariocamboriu_cidade" TargetMode="External"/><Relationship Id="rId93" Type="http://schemas.openxmlformats.org/officeDocument/2006/relationships/hyperlink" Target="https://instagram.com/tainaraviau" TargetMode="External"/><Relationship Id="rId94" Type="http://schemas.openxmlformats.org/officeDocument/2006/relationships/hyperlink" Target="https://instagram.com/elainesimoesnane" TargetMode="External"/><Relationship Id="rId95" Type="http://schemas.openxmlformats.org/officeDocument/2006/relationships/hyperlink" Target="https://instagram.com/amitalendo" TargetMode="External"/><Relationship Id="rId96" Type="http://schemas.openxmlformats.org/officeDocument/2006/relationships/hyperlink" Target="https://instagram.com/julianamaestri.bessani.psico" TargetMode="External"/><Relationship Id="rId97" Type="http://schemas.openxmlformats.org/officeDocument/2006/relationships/hyperlink" Target="https://instagram.com/guimelo8" TargetMode="External"/><Relationship Id="rId98" Type="http://schemas.openxmlformats.org/officeDocument/2006/relationships/hyperlink" Target="https://instagram.com/jessicaaolivei" TargetMode="External"/><Relationship Id="rId99" Type="http://schemas.openxmlformats.org/officeDocument/2006/relationships/hyperlink" Target="https://instagram.com/eduardoinvest.bc" TargetMode="External"/><Relationship Id="rId100" Type="http://schemas.openxmlformats.org/officeDocument/2006/relationships/hyperlink" Target="https://instagram.com/vivi_balneariocamboriu" TargetMode="External"/><Relationship Id="rId101" Type="http://schemas.openxmlformats.org/officeDocument/2006/relationships/hyperlink" Target="https://instagram.com/joseelacerdaa" TargetMode="External"/><Relationship Id="rId102" Type="http://schemas.openxmlformats.org/officeDocument/2006/relationships/hyperlink" Target="https://instagram.com/heber.oliveira.pesca_de_praia" TargetMode="External"/><Relationship Id="rId103" Type="http://schemas.openxmlformats.org/officeDocument/2006/relationships/hyperlink" Target="https://instagram.com/boas_dicas_bc" TargetMode="External"/><Relationship Id="rId104" Type="http://schemas.openxmlformats.org/officeDocument/2006/relationships/hyperlink" Target="https://instagram.com/andreiamourasc" TargetMode="External"/><Relationship Id="rId105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instagram.com/bccity_" TargetMode="External"/><Relationship Id="rId2" Type="http://schemas.openxmlformats.org/officeDocument/2006/relationships/hyperlink" Target="https://instagram.com/letiiciaramosss" TargetMode="External"/><Relationship Id="rId3" Type="http://schemas.openxmlformats.org/officeDocument/2006/relationships/hyperlink" Target="https://instagram.com/balneariocamboriubr" TargetMode="External"/><Relationship Id="rId4" Type="http://schemas.openxmlformats.org/officeDocument/2006/relationships/hyperlink" Target="https://instagram.com/balneariodicas" TargetMode="External"/><Relationship Id="rId5" Type="http://schemas.openxmlformats.org/officeDocument/2006/relationships/hyperlink" Target="https://instagram.com/pippo_ramirez" TargetMode="External"/><Relationship Id="rId6" Type="http://schemas.openxmlformats.org/officeDocument/2006/relationships/hyperlink" Target="https://instagram.com/juliovaleriojv" TargetMode="External"/><Relationship Id="rId7" Type="http://schemas.openxmlformats.org/officeDocument/2006/relationships/hyperlink" Target="https://instagram.com/rodrigo_silva_ct_cross" TargetMode="External"/><Relationship Id="rId8" Type="http://schemas.openxmlformats.org/officeDocument/2006/relationships/hyperlink" Target="https://instagram.com/mi.frias" TargetMode="External"/><Relationship Id="rId9" Type="http://schemas.openxmlformats.org/officeDocument/2006/relationships/hyperlink" Target="https://instagram.com/balneariocamboriu_cidade" TargetMode="External"/><Relationship Id="rId10" Type="http://schemas.openxmlformats.org/officeDocument/2006/relationships/hyperlink" Target="https://instagram.com/tainaraviau" TargetMode="External"/><Relationship Id="rId11" Type="http://schemas.openxmlformats.org/officeDocument/2006/relationships/hyperlink" Target="https://instagram.com/mmichelemartins" TargetMode="External"/><Relationship Id="rId12" Type="http://schemas.openxmlformats.org/officeDocument/2006/relationships/hyperlink" Target="https://instagram.com/elainesimoesnane" TargetMode="External"/><Relationship Id="rId13" Type="http://schemas.openxmlformats.org/officeDocument/2006/relationships/hyperlink" Target="https://instagram.com/amitalendo" TargetMode="External"/><Relationship Id="rId14" Type="http://schemas.openxmlformats.org/officeDocument/2006/relationships/hyperlink" Target="https://instagram.com/luujohann" TargetMode="External"/><Relationship Id="rId15" Type="http://schemas.openxmlformats.org/officeDocument/2006/relationships/hyperlink" Target="https://instagram.com/deluccamartins" TargetMode="External"/><Relationship Id="rId16" Type="http://schemas.openxmlformats.org/officeDocument/2006/relationships/hyperlink" Target="https://instagram.com/julianamaestri.bessani.psico" TargetMode="External"/><Relationship Id="rId17" Type="http://schemas.openxmlformats.org/officeDocument/2006/relationships/hyperlink" Target="https://instagram.com/guimelo8" TargetMode="External"/><Relationship Id="rId18" Type="http://schemas.openxmlformats.org/officeDocument/2006/relationships/hyperlink" Target="https://instagram.com/joseelacerdaa" TargetMode="External"/><Relationship Id="rId19" Type="http://schemas.openxmlformats.org/officeDocument/2006/relationships/hyperlink" Target="https://instagram.com/rafajenei" TargetMode="External"/><Relationship Id="rId20" Type="http://schemas.openxmlformats.org/officeDocument/2006/relationships/hyperlink" Target="https://instagram.com/boas_dicas_bc" TargetMode="External"/><Relationship Id="rId2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instagram.com/mordomorodrigo_oficial" TargetMode="External"/><Relationship Id="rId2" Type="http://schemas.openxmlformats.org/officeDocument/2006/relationships/hyperlink" Target="https://instagram.com/andreza.marinho_22" TargetMode="External"/><Relationship Id="rId3" Type="http://schemas.openxmlformats.org/officeDocument/2006/relationships/hyperlink" Target="https://instagram.com/brunoleon.blm" TargetMode="External"/><Relationship Id="rId4" Type="http://schemas.openxmlformats.org/officeDocument/2006/relationships/hyperlink" Target="https://instagram.com/letsbalneario" TargetMode="External"/><Relationship Id="rId5" Type="http://schemas.openxmlformats.org/officeDocument/2006/relationships/hyperlink" Target="https://instagram.com/kcrespi" TargetMode="External"/><Relationship Id="rId6" Type="http://schemas.openxmlformats.org/officeDocument/2006/relationships/hyperlink" Target="https://instagram.com/bcemfotos" TargetMode="External"/><Relationship Id="rId7" Type="http://schemas.openxmlformats.org/officeDocument/2006/relationships/hyperlink" Target="https://instagram.com/abnerbernardes__" TargetMode="External"/><Relationship Id="rId8" Type="http://schemas.openxmlformats.org/officeDocument/2006/relationships/hyperlink" Target="https://instagram.com/paulagarciapersonal" TargetMode="External"/><Relationship Id="rId9" Type="http://schemas.openxmlformats.org/officeDocument/2006/relationships/hyperlink" Target="https://instagram.com/tudodeitapema" TargetMode="External"/><Relationship Id="rId10" Type="http://schemas.openxmlformats.org/officeDocument/2006/relationships/hyperlink" Target="https://instagram.com/suellyns" TargetMode="External"/><Relationship Id="rId11" Type="http://schemas.openxmlformats.org/officeDocument/2006/relationships/hyperlink" Target="https://instagram.com/guimelo8" TargetMode="External"/><Relationship Id="rId12" Type="http://schemas.openxmlformats.org/officeDocument/2006/relationships/hyperlink" Target="https://instagram.com/carolschultzofc" TargetMode="External"/><Relationship Id="rId13" Type="http://schemas.openxmlformats.org/officeDocument/2006/relationships/hyperlink" Target="https://instagram.com/itapemaphotos" TargetMode="External"/><Relationship Id="rId14" Type="http://schemas.openxmlformats.org/officeDocument/2006/relationships/hyperlink" Target="https://instagram.com/olhardeitapema" TargetMode="External"/><Relationship Id="rId15" Type="http://schemas.openxmlformats.org/officeDocument/2006/relationships/hyperlink" Target="https://instagram.com/_viva_itapema" TargetMode="External"/><Relationship Id="rId16" Type="http://schemas.openxmlformats.org/officeDocument/2006/relationships/hyperlink" Target="https://instagram.com/negojoe" TargetMode="External"/><Relationship Id="rId17" Type="http://schemas.openxmlformats.org/officeDocument/2006/relationships/hyperlink" Target="https://instagram.com/falaitapema" TargetMode="External"/><Relationship Id="rId18" Type="http://schemas.openxmlformats.org/officeDocument/2006/relationships/hyperlink" Target="https://instagram.com/jessicaaolivei" TargetMode="External"/><Relationship Id="rId19" Type="http://schemas.openxmlformats.org/officeDocument/2006/relationships/hyperlink" Target="https://instagram.com/kamillesilveiraa_" TargetMode="External"/><Relationship Id="rId20" Type="http://schemas.openxmlformats.org/officeDocument/2006/relationships/hyperlink" Target="https://instagram.com/eduardoinvest.bc" TargetMode="External"/><Relationship Id="rId21" Type="http://schemas.openxmlformats.org/officeDocument/2006/relationships/hyperlink" Target="https://instagram.com/brunomarques_sc" TargetMode="External"/><Relationship Id="rId22" Type="http://schemas.openxmlformats.org/officeDocument/2006/relationships/hyperlink" Target="https://instagram.com/itapemabeach_" TargetMode="External"/><Relationship Id="rId23" Type="http://schemas.openxmlformats.org/officeDocument/2006/relationships/hyperlink" Target="https://instagram.com/silmarodesenhos" TargetMode="External"/><Relationship Id="rId24" Type="http://schemas.openxmlformats.org/officeDocument/2006/relationships/hyperlink" Target="https://instagram.com/carloshenrique.ads_" TargetMode="External"/><Relationship Id="rId25" Type="http://schemas.openxmlformats.org/officeDocument/2006/relationships/hyperlink" Target="https://instagram.com/vivi_balneariocamboriu" TargetMode="External"/><Relationship Id="rId26" Type="http://schemas.openxmlformats.org/officeDocument/2006/relationships/hyperlink" Target="https://instagram.com/karolina_mary" TargetMode="External"/><Relationship Id="rId27" Type="http://schemas.openxmlformats.org/officeDocument/2006/relationships/hyperlink" Target="https://instagram.com/joseelacerdaa" TargetMode="External"/><Relationship Id="rId28" Type="http://schemas.openxmlformats.org/officeDocument/2006/relationships/hyperlink" Target="https://instagram.com/nery_karolpersonal" TargetMode="External"/><Relationship Id="rId29" Type="http://schemas.openxmlformats.org/officeDocument/2006/relationships/hyperlink" Target="https://instagram.com/click.itapema" TargetMode="External"/><Relationship Id="rId30" Type="http://schemas.openxmlformats.org/officeDocument/2006/relationships/hyperlink" Target="https://instagram.com/terapeuta.dianabrandao" TargetMode="External"/><Relationship Id="rId31" Type="http://schemas.openxmlformats.org/officeDocument/2006/relationships/hyperlink" Target="https://instagram.com/heber.oliveira.pesca_de_praia" TargetMode="External"/><Relationship Id="rId32" Type="http://schemas.openxmlformats.org/officeDocument/2006/relationships/hyperlink" Target="https://instagram.com/camila_paloschi" TargetMode="External"/><Relationship Id="rId33" Type="http://schemas.openxmlformats.org/officeDocument/2006/relationships/hyperlink" Target="https://instagram.com/kaleujr" TargetMode="External"/><Relationship Id="rId34" Type="http://schemas.openxmlformats.org/officeDocument/2006/relationships/hyperlink" Target="https://instagram.com/rafajenei" TargetMode="External"/><Relationship Id="rId35" Type="http://schemas.openxmlformats.org/officeDocument/2006/relationships/hyperlink" Target="https://instagram.com/palomakehll" TargetMode="External"/><Relationship Id="rId36" Type="http://schemas.openxmlformats.org/officeDocument/2006/relationships/hyperlink" Target="https://instagram.com/flaviabruguer" TargetMode="External"/><Relationship Id="rId37" Type="http://schemas.openxmlformats.org/officeDocument/2006/relationships/hyperlink" Target="https://instagram.com/thaismurarotrainer" TargetMode="External"/><Relationship Id="rId38" Type="http://schemas.openxmlformats.org/officeDocument/2006/relationships/hyperlink" Target="https://instagram.com/machado.gi_" TargetMode="External"/><Relationship Id="rId39" Type="http://schemas.openxmlformats.org/officeDocument/2006/relationships/hyperlink" Target="https://instagram.com/boas_dicas_bc" TargetMode="External"/><Relationship Id="rId40" Type="http://schemas.openxmlformats.org/officeDocument/2006/relationships/hyperlink" Target="https://instagram.com/analeite0615" TargetMode="External"/><Relationship Id="rId41" Type="http://schemas.openxmlformats.org/officeDocument/2006/relationships/hyperlink" Target="https://instagram.com/tanise_vieira_" TargetMode="External"/><Relationship Id="rId42" Type="http://schemas.openxmlformats.org/officeDocument/2006/relationships/hyperlink" Target="https://instagram.com/andreiamourasc" TargetMode="External"/><Relationship Id="rId43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2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4" t="s">
        <v>16</v>
      </c>
      <c r="B19" s="4" t="s">
        <v>17</v>
      </c>
    </row>
    <row r="20" customFormat="false" ht="15" hidden="false" customHeight="false" outlineLevel="0" collapsed="false">
      <c r="A20" s="5" t="s">
        <v>18</v>
      </c>
      <c r="B20" s="6" t="n">
        <v>0.04</v>
      </c>
    </row>
    <row r="21" customFormat="false" ht="15" hidden="false" customHeight="false" outlineLevel="0" collapsed="false">
      <c r="A21" s="5" t="s">
        <v>19</v>
      </c>
      <c r="B21" s="6" t="n">
        <v>0.025</v>
      </c>
    </row>
    <row r="22" customFormat="false" ht="15" hidden="false" customHeight="false" outlineLevel="0" collapsed="false">
      <c r="A22" s="5" t="s">
        <v>20</v>
      </c>
      <c r="B22" s="6" t="n">
        <v>0.015</v>
      </c>
    </row>
    <row r="23" customFormat="false" ht="15" hidden="false" customHeight="false" outlineLevel="0" collapsed="false">
      <c r="A23" s="5" t="s">
        <v>21</v>
      </c>
      <c r="B23" s="6" t="n">
        <v>0.01</v>
      </c>
    </row>
    <row r="24" customFormat="false" ht="15" hidden="false" customHeight="false" outlineLevel="0" collapsed="false">
      <c r="A24" s="5" t="s">
        <v>22</v>
      </c>
      <c r="B24" s="6" t="n">
        <v>0.007</v>
      </c>
    </row>
    <row r="25" customFormat="false" ht="15" hidden="false" customHeight="false" outlineLevel="0" collapsed="false">
      <c r="A25" s="7" t="s">
        <v>23</v>
      </c>
    </row>
    <row r="27" customFormat="false" ht="15" hidden="false" customHeight="false" outlineLevel="0" collapsed="false">
      <c r="A27" s="8" t="s">
        <v>24</v>
      </c>
      <c r="B27" s="9" t="n">
        <v>46292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3"/>
  </cols>
  <sheetData>
    <row r="1" customFormat="false" ht="16.15" hidden="false" customHeight="false" outlineLevel="0" collapsed="false">
      <c r="A1" s="10" t="s">
        <v>25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6.85" hidden="false" customHeight="false" outlineLevel="0" collapsed="false">
      <c r="A3" s="11" t="s">
        <v>26</v>
      </c>
      <c r="B3" s="11" t="s">
        <v>27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32</v>
      </c>
      <c r="M3" s="11" t="s">
        <v>33</v>
      </c>
      <c r="N3" s="11" t="s">
        <v>34</v>
      </c>
    </row>
    <row r="4" customFormat="false" ht="15" hidden="false" customHeight="false" outlineLevel="0" collapsed="false">
      <c r="A4" s="2" t="s">
        <v>35</v>
      </c>
      <c r="B4" s="2" t="n">
        <f aca="false">COUNTIF('Base completa'!$A$2:$A$183,$A4)</f>
        <v>58</v>
      </c>
      <c r="C4" s="2" t="n">
        <f aca="false">COUNTIFS('Base completa'!$A$2:$A$183,$A4,'Base completa'!$H$2:$H$183,"Nano (1k–3k)")</f>
        <v>12</v>
      </c>
      <c r="D4" s="2" t="n">
        <f aca="false">COUNTIFS('Base completa'!$A$2:$A$183,$A4,'Base completa'!$H$2:$H$183,"Micro (3k–30k)")</f>
        <v>34</v>
      </c>
      <c r="E4" s="2" t="n">
        <f aca="false">COUNTIFS('Base completa'!$A$2:$A$183,$A4,'Base completa'!$H$2:$H$183,"Média (30k–100k)")</f>
        <v>9</v>
      </c>
      <c r="F4" s="2" t="n">
        <f aca="false">COUNTIFS('Base completa'!$A$2:$A$183,$A4,'Base completa'!$H$2:$H$183,"Macro (100k–500k)")</f>
        <v>2</v>
      </c>
      <c r="G4" s="2" t="n">
        <f aca="false">COUNTIFS('Base completa'!$A$2:$A$183,$A4,'Base completa'!$H$2:$H$183,"Mega (500k+)")</f>
        <v>1</v>
      </c>
      <c r="H4" s="2" t="n">
        <f aca="false">COUNTIFS('Base completa'!$A$2:$A$183,$A4,'Base completa'!$F$2:$F$183,"Mulher")</f>
        <v>38</v>
      </c>
      <c r="I4" s="2" t="n">
        <f aca="false">COUNTIFS('Base completa'!$A$2:$A$183,$A4,'Base completa'!$F$2:$F$183,"Homem")</f>
        <v>15</v>
      </c>
      <c r="J4" s="2" t="n">
        <f aca="false">COUNTIFS('Base completa'!$A$2:$A$183,$A4,'Base completa'!$E$2:$E$183,"Criador(a)")</f>
        <v>35</v>
      </c>
      <c r="K4" s="2" t="n">
        <f aca="false">COUNTIFS('Base completa'!$A$2:$A$183,$A4,'Base completa'!$E$2:$E$183,"Especialista que cria conteúdo")</f>
        <v>19</v>
      </c>
      <c r="L4" s="2" t="n">
        <f aca="false">COUNTIFS('Base completa'!$A$2:$A$183,$A4,'Base completa'!$E$2:$E$183,"Página local / guia")</f>
        <v>4</v>
      </c>
      <c r="M4" s="2" t="n">
        <f aca="false">COUNTIFS('Base completa'!$A$2:$A$183,$A4,'Base completa'!$X$2:$X$183,"Alta")</f>
        <v>28</v>
      </c>
      <c r="N4" s="2" t="n">
        <f aca="false">IFERROR(ROUND(AVERAGEIF('Base completa'!$A$2:$A$183,$A4,'Base completa'!$Y$2:$Y$183),0),"")</f>
        <v>49</v>
      </c>
    </row>
    <row r="5" customFormat="false" ht="15" hidden="false" customHeight="false" outlineLevel="0" collapsed="false">
      <c r="A5" s="2" t="s">
        <v>36</v>
      </c>
      <c r="B5" s="2" t="n">
        <f aca="false">COUNTIF('Base completa'!$A$2:$A$183,$A5)</f>
        <v>81</v>
      </c>
      <c r="C5" s="2" t="n">
        <f aca="false">COUNTIFS('Base completa'!$A$2:$A$183,$A5,'Base completa'!$H$2:$H$183,"Nano (1k–3k)")</f>
        <v>16</v>
      </c>
      <c r="D5" s="2" t="n">
        <f aca="false">COUNTIFS('Base completa'!$A$2:$A$183,$A5,'Base completa'!$H$2:$H$183,"Micro (3k–30k)")</f>
        <v>42</v>
      </c>
      <c r="E5" s="2" t="n">
        <f aca="false">COUNTIFS('Base completa'!$A$2:$A$183,$A5,'Base completa'!$H$2:$H$183,"Média (30k–100k)")</f>
        <v>13</v>
      </c>
      <c r="F5" s="2" t="n">
        <f aca="false">COUNTIFS('Base completa'!$A$2:$A$183,$A5,'Base completa'!$H$2:$H$183,"Macro (100k–500k)")</f>
        <v>8</v>
      </c>
      <c r="G5" s="2" t="n">
        <f aca="false">COUNTIFS('Base completa'!$A$2:$A$183,$A5,'Base completa'!$H$2:$H$183,"Mega (500k+)")</f>
        <v>2</v>
      </c>
      <c r="H5" s="2" t="n">
        <f aca="false">COUNTIFS('Base completa'!$A$2:$A$183,$A5,'Base completa'!$F$2:$F$183,"Mulher")</f>
        <v>48</v>
      </c>
      <c r="I5" s="2" t="n">
        <f aca="false">COUNTIFS('Base completa'!$A$2:$A$183,$A5,'Base completa'!$F$2:$F$183,"Homem")</f>
        <v>16</v>
      </c>
      <c r="J5" s="2" t="n">
        <f aca="false">COUNTIFS('Base completa'!$A$2:$A$183,$A5,'Base completa'!$E$2:$E$183,"Criador(a)")</f>
        <v>33</v>
      </c>
      <c r="K5" s="2" t="n">
        <f aca="false">COUNTIFS('Base completa'!$A$2:$A$183,$A5,'Base completa'!$E$2:$E$183,"Especialista que cria conteúdo")</f>
        <v>34</v>
      </c>
      <c r="L5" s="2" t="n">
        <f aca="false">COUNTIFS('Base completa'!$A$2:$A$183,$A5,'Base completa'!$E$2:$E$183,"Página local / guia")</f>
        <v>14</v>
      </c>
      <c r="M5" s="2" t="n">
        <f aca="false">COUNTIFS('Base completa'!$A$2:$A$183,$A5,'Base completa'!$X$2:$X$183,"Alta")</f>
        <v>24</v>
      </c>
      <c r="N5" s="2" t="n">
        <f aca="false">IFERROR(ROUND(AVERAGEIF('Base completa'!$A$2:$A$183,$A5,'Base completa'!$Y$2:$Y$183),0),"")</f>
        <v>44</v>
      </c>
    </row>
    <row r="6" customFormat="false" ht="15" hidden="false" customHeight="false" outlineLevel="0" collapsed="false">
      <c r="A6" s="2" t="s">
        <v>37</v>
      </c>
      <c r="B6" s="2" t="n">
        <f aca="false">COUNTIF('Base completa'!$A$2:$A$183,$A6)</f>
        <v>9</v>
      </c>
      <c r="C6" s="2" t="n">
        <f aca="false">COUNTIFS('Base completa'!$A$2:$A$183,$A6,'Base completa'!$H$2:$H$183,"Nano (1k–3k)")</f>
        <v>1</v>
      </c>
      <c r="D6" s="2" t="n">
        <f aca="false">COUNTIFS('Base completa'!$A$2:$A$183,$A6,'Base completa'!$H$2:$H$183,"Micro (3k–30k)")</f>
        <v>6</v>
      </c>
      <c r="E6" s="2" t="n">
        <f aca="false">COUNTIFS('Base completa'!$A$2:$A$183,$A6,'Base completa'!$H$2:$H$183,"Média (30k–100k)")</f>
        <v>2</v>
      </c>
      <c r="F6" s="2" t="n">
        <f aca="false">COUNTIFS('Base completa'!$A$2:$A$183,$A6,'Base completa'!$H$2:$H$183,"Macro (100k–500k)")</f>
        <v>0</v>
      </c>
      <c r="G6" s="2" t="n">
        <f aca="false">COUNTIFS('Base completa'!$A$2:$A$183,$A6,'Base completa'!$H$2:$H$183,"Mega (500k+)")</f>
        <v>0</v>
      </c>
      <c r="H6" s="2" t="n">
        <f aca="false">COUNTIFS('Base completa'!$A$2:$A$183,$A6,'Base completa'!$F$2:$F$183,"Mulher")</f>
        <v>7</v>
      </c>
      <c r="I6" s="2" t="n">
        <f aca="false">COUNTIFS('Base completa'!$A$2:$A$183,$A6,'Base completa'!$F$2:$F$183,"Homem")</f>
        <v>1</v>
      </c>
      <c r="J6" s="2" t="n">
        <f aca="false">COUNTIFS('Base completa'!$A$2:$A$183,$A6,'Base completa'!$E$2:$E$183,"Criador(a)")</f>
        <v>4</v>
      </c>
      <c r="K6" s="2" t="n">
        <f aca="false">COUNTIFS('Base completa'!$A$2:$A$183,$A6,'Base completa'!$E$2:$E$183,"Especialista que cria conteúdo")</f>
        <v>4</v>
      </c>
      <c r="L6" s="2" t="n">
        <f aca="false">COUNTIFS('Base completa'!$A$2:$A$183,$A6,'Base completa'!$E$2:$E$183,"Página local / guia")</f>
        <v>1</v>
      </c>
      <c r="M6" s="2" t="n">
        <f aca="false">COUNTIFS('Base completa'!$A$2:$A$183,$A6,'Base completa'!$X$2:$X$183,"Alta")</f>
        <v>3</v>
      </c>
      <c r="N6" s="2" t="n">
        <f aca="false">IFERROR(ROUND(AVERAGEIF('Base completa'!$A$2:$A$183,$A6,'Base completa'!$Y$2:$Y$183),0),"")</f>
        <v>46</v>
      </c>
    </row>
    <row r="7" customFormat="false" ht="15" hidden="false" customHeight="false" outlineLevel="0" collapsed="false">
      <c r="A7" s="2" t="s">
        <v>38</v>
      </c>
      <c r="B7" s="2" t="n">
        <f aca="false">COUNTIF('Base completa'!$A$2:$A$183,$A7)</f>
        <v>34</v>
      </c>
      <c r="C7" s="2" t="n">
        <f aca="false">COUNTIFS('Base completa'!$A$2:$A$183,$A7,'Base completa'!$H$2:$H$183,"Nano (1k–3k)")</f>
        <v>13</v>
      </c>
      <c r="D7" s="2" t="n">
        <f aca="false">COUNTIFS('Base completa'!$A$2:$A$183,$A7,'Base completa'!$H$2:$H$183,"Micro (3k–30k)")</f>
        <v>12</v>
      </c>
      <c r="E7" s="2" t="n">
        <f aca="false">COUNTIFS('Base completa'!$A$2:$A$183,$A7,'Base completa'!$H$2:$H$183,"Média (30k–100k)")</f>
        <v>7</v>
      </c>
      <c r="F7" s="2" t="n">
        <f aca="false">COUNTIFS('Base completa'!$A$2:$A$183,$A7,'Base completa'!$H$2:$H$183,"Macro (100k–500k)")</f>
        <v>2</v>
      </c>
      <c r="G7" s="2" t="n">
        <f aca="false">COUNTIFS('Base completa'!$A$2:$A$183,$A7,'Base completa'!$H$2:$H$183,"Mega (500k+)")</f>
        <v>0</v>
      </c>
      <c r="H7" s="2" t="n">
        <f aca="false">COUNTIFS('Base completa'!$A$2:$A$183,$A7,'Base completa'!$F$2:$F$183,"Mulher")</f>
        <v>16</v>
      </c>
      <c r="I7" s="2" t="n">
        <f aca="false">COUNTIFS('Base completa'!$A$2:$A$183,$A7,'Base completa'!$F$2:$F$183,"Homem")</f>
        <v>10</v>
      </c>
      <c r="J7" s="2" t="n">
        <f aca="false">COUNTIFS('Base completa'!$A$2:$A$183,$A7,'Base completa'!$E$2:$E$183,"Criador(a)")</f>
        <v>17</v>
      </c>
      <c r="K7" s="2" t="n">
        <f aca="false">COUNTIFS('Base completa'!$A$2:$A$183,$A7,'Base completa'!$E$2:$E$183,"Especialista que cria conteúdo")</f>
        <v>9</v>
      </c>
      <c r="L7" s="2" t="n">
        <f aca="false">COUNTIFS('Base completa'!$A$2:$A$183,$A7,'Base completa'!$E$2:$E$183,"Página local / guia")</f>
        <v>8</v>
      </c>
      <c r="M7" s="2" t="n">
        <f aca="false">COUNTIFS('Base completa'!$A$2:$A$183,$A7,'Base completa'!$X$2:$X$183,"Alta")</f>
        <v>6</v>
      </c>
      <c r="N7" s="2" t="n">
        <f aca="false">IFERROR(ROUND(AVERAGEIF('Base completa'!$A$2:$A$183,$A7,'Base completa'!$Y$2:$Y$183),0),"")</f>
        <v>48</v>
      </c>
    </row>
    <row r="8" customFormat="false" ht="15" hidden="false" customHeight="false" outlineLevel="0" collapsed="false">
      <c r="A8" s="8" t="s">
        <v>27</v>
      </c>
      <c r="B8" s="8" t="n">
        <f aca="false">SUM(B4:B7)</f>
        <v>182</v>
      </c>
      <c r="C8" s="8" t="n">
        <f aca="false">SUM(C4:C7)</f>
        <v>42</v>
      </c>
      <c r="D8" s="8" t="n">
        <f aca="false">SUM(D4:D7)</f>
        <v>94</v>
      </c>
      <c r="E8" s="8" t="n">
        <f aca="false">SUM(E4:E7)</f>
        <v>31</v>
      </c>
      <c r="F8" s="8" t="n">
        <f aca="false">SUM(F4:F7)</f>
        <v>12</v>
      </c>
      <c r="G8" s="8" t="n">
        <f aca="false">SUM(G4:G7)</f>
        <v>3</v>
      </c>
      <c r="H8" s="8" t="n">
        <f aca="false">SUM(H4:H7)</f>
        <v>109</v>
      </c>
      <c r="I8" s="8" t="n">
        <f aca="false">SUM(I4:I7)</f>
        <v>42</v>
      </c>
      <c r="J8" s="8" t="n">
        <f aca="false">SUM(J4:J7)</f>
        <v>89</v>
      </c>
      <c r="K8" s="8" t="n">
        <f aca="false">SUM(K4:K7)</f>
        <v>66</v>
      </c>
      <c r="L8" s="8" t="n">
        <f aca="false">SUM(L4:L7)</f>
        <v>27</v>
      </c>
      <c r="M8" s="8" t="n">
        <f aca="false">SUM(M4:M7)</f>
        <v>61</v>
      </c>
      <c r="N8" s="8" t="n">
        <f aca="false">IFERROR(ROUND(AVERAGE('Base completa'!$Y$2:$Y$183),0),"")</f>
        <v>47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6.15" hidden="false" customHeight="false" outlineLevel="0" collapsed="false">
      <c r="A10" s="10" t="s">
        <v>39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4" t="s">
        <v>40</v>
      </c>
      <c r="B11" s="4" t="s">
        <v>35</v>
      </c>
      <c r="C11" s="4" t="s">
        <v>36</v>
      </c>
      <c r="D11" s="4" t="s">
        <v>37</v>
      </c>
      <c r="E11" s="4" t="s">
        <v>38</v>
      </c>
      <c r="F11" s="4" t="s">
        <v>27</v>
      </c>
      <c r="G11" s="4"/>
      <c r="H11" s="4"/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2" t="s">
        <v>41</v>
      </c>
      <c r="B12" s="2" t="n">
        <f aca="false">COUNTIFS('Base completa'!$A$2:$A$183,"Itajaí",'Base completa'!$W$2:$W$183,"*"&amp;$A12&amp;"*")</f>
        <v>3</v>
      </c>
      <c r="C12" s="2" t="n">
        <f aca="false">COUNTIFS('Base completa'!$A$2:$A$183,"Balneário Camboriú",'Base completa'!$W$2:$W$183,"*"&amp;$A12&amp;"*")</f>
        <v>1</v>
      </c>
      <c r="D12" s="2" t="n">
        <f aca="false">COUNTIFS('Base completa'!$A$2:$A$183,"Camboriú",'Base completa'!$W$2:$W$183,"*"&amp;$A12&amp;"*")</f>
        <v>0</v>
      </c>
      <c r="E12" s="2" t="n">
        <f aca="false">COUNTIFS('Base completa'!$A$2:$A$183,"Itapema",'Base completa'!$W$2:$W$183,"*"&amp;$A12&amp;"*")</f>
        <v>1</v>
      </c>
      <c r="F12" s="2" t="n">
        <f aca="false">SUM(B12:E12)</f>
        <v>5</v>
      </c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 t="s">
        <v>42</v>
      </c>
      <c r="B13" s="2" t="n">
        <f aca="false">COUNTIFS('Base completa'!$A$2:$A$183,"Itajaí",'Base completa'!$W$2:$W$183,"*"&amp;$A13&amp;"*")</f>
        <v>13</v>
      </c>
      <c r="C13" s="2" t="n">
        <f aca="false">COUNTIFS('Base completa'!$A$2:$A$183,"Balneário Camboriú",'Base completa'!$W$2:$W$183,"*"&amp;$A13&amp;"*")</f>
        <v>16</v>
      </c>
      <c r="D13" s="2" t="n">
        <f aca="false">COUNTIFS('Base completa'!$A$2:$A$183,"Camboriú",'Base completa'!$W$2:$W$183,"*"&amp;$A13&amp;"*")</f>
        <v>0</v>
      </c>
      <c r="E13" s="2" t="n">
        <f aca="false">COUNTIFS('Base completa'!$A$2:$A$183,"Itapema",'Base completa'!$W$2:$W$183,"*"&amp;$A13&amp;"*")</f>
        <v>4</v>
      </c>
      <c r="F13" s="2" t="n">
        <f aca="false">SUM(B13:E13)</f>
        <v>33</v>
      </c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 t="s">
        <v>43</v>
      </c>
      <c r="B14" s="2" t="n">
        <f aca="false">COUNTIFS('Base completa'!$A$2:$A$183,"Itajaí",'Base completa'!$W$2:$W$183,"*"&amp;$A14&amp;"*")</f>
        <v>5</v>
      </c>
      <c r="C14" s="2" t="n">
        <f aca="false">COUNTIFS('Base completa'!$A$2:$A$183,"Balneário Camboriú",'Base completa'!$W$2:$W$183,"*"&amp;$A14&amp;"*")</f>
        <v>9</v>
      </c>
      <c r="D14" s="2" t="n">
        <f aca="false">COUNTIFS('Base completa'!$A$2:$A$183,"Camboriú",'Base completa'!$W$2:$W$183,"*"&amp;$A14&amp;"*")</f>
        <v>0</v>
      </c>
      <c r="E14" s="2" t="n">
        <f aca="false">COUNTIFS('Base completa'!$A$2:$A$183,"Itapema",'Base completa'!$W$2:$W$183,"*"&amp;$A14&amp;"*")</f>
        <v>3</v>
      </c>
      <c r="F14" s="2" t="n">
        <f aca="false">SUM(B14:E14)</f>
        <v>17</v>
      </c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 t="s">
        <v>44</v>
      </c>
      <c r="B15" s="2" t="n">
        <f aca="false">COUNTIFS('Base completa'!$A$2:$A$183,"Itajaí",'Base completa'!$W$2:$W$183,"*"&amp;$A15&amp;"*")</f>
        <v>6</v>
      </c>
      <c r="C15" s="2" t="n">
        <f aca="false">COUNTIFS('Base completa'!$A$2:$A$183,"Balneário Camboriú",'Base completa'!$W$2:$W$183,"*"&amp;$A15&amp;"*")</f>
        <v>10</v>
      </c>
      <c r="D15" s="2" t="n">
        <f aca="false">COUNTIFS('Base completa'!$A$2:$A$183,"Camboriú",'Base completa'!$W$2:$W$183,"*"&amp;$A15&amp;"*")</f>
        <v>1</v>
      </c>
      <c r="E15" s="2" t="n">
        <f aca="false">COUNTIFS('Base completa'!$A$2:$A$183,"Itapema",'Base completa'!$W$2:$W$183,"*"&amp;$A15&amp;"*")</f>
        <v>2</v>
      </c>
      <c r="F15" s="2" t="n">
        <f aca="false">SUM(B15:E15)</f>
        <v>19</v>
      </c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 t="s">
        <v>45</v>
      </c>
      <c r="B16" s="2" t="n">
        <f aca="false">COUNTIFS('Base completa'!$A$2:$A$183,"Itajaí",'Base completa'!$W$2:$W$183,"*"&amp;$A16&amp;"*")</f>
        <v>10</v>
      </c>
      <c r="C16" s="2" t="n">
        <f aca="false">COUNTIFS('Base completa'!$A$2:$A$183,"Balneário Camboriú",'Base completa'!$W$2:$W$183,"*"&amp;$A16&amp;"*")</f>
        <v>18</v>
      </c>
      <c r="D16" s="2" t="n">
        <f aca="false">COUNTIFS('Base completa'!$A$2:$A$183,"Camboriú",'Base completa'!$W$2:$W$183,"*"&amp;$A16&amp;"*")</f>
        <v>3</v>
      </c>
      <c r="E16" s="2" t="n">
        <f aca="false">COUNTIFS('Base completa'!$A$2:$A$183,"Itapema",'Base completa'!$W$2:$W$183,"*"&amp;$A16&amp;"*")</f>
        <v>8</v>
      </c>
      <c r="F16" s="2" t="n">
        <f aca="false">SUM(B16:E16)</f>
        <v>39</v>
      </c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 t="s">
        <v>46</v>
      </c>
      <c r="B17" s="2" t="n">
        <f aca="false">COUNTIFS('Base completa'!$A$2:$A$183,"Itajaí",'Base completa'!$W$2:$W$183,"*"&amp;$A17&amp;"*")</f>
        <v>9</v>
      </c>
      <c r="C17" s="2" t="n">
        <f aca="false">COUNTIFS('Base completa'!$A$2:$A$183,"Balneário Camboriú",'Base completa'!$W$2:$W$183,"*"&amp;$A17&amp;"*")</f>
        <v>12</v>
      </c>
      <c r="D17" s="2" t="n">
        <f aca="false">COUNTIFS('Base completa'!$A$2:$A$183,"Camboriú",'Base completa'!$W$2:$W$183,"*"&amp;$A17&amp;"*")</f>
        <v>1</v>
      </c>
      <c r="E17" s="2" t="n">
        <f aca="false">COUNTIFS('Base completa'!$A$2:$A$183,"Itapema",'Base completa'!$W$2:$W$183,"*"&amp;$A17&amp;"*")</f>
        <v>3</v>
      </c>
      <c r="F17" s="2" t="n">
        <f aca="false">SUM(B17:E17)</f>
        <v>25</v>
      </c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 t="s">
        <v>47</v>
      </c>
      <c r="B18" s="2" t="n">
        <f aca="false">COUNTIFS('Base completa'!$A$2:$A$183,"Itajaí",'Base completa'!$W$2:$W$183,"*"&amp;$A18&amp;"*")</f>
        <v>9</v>
      </c>
      <c r="C18" s="2" t="n">
        <f aca="false">COUNTIFS('Base completa'!$A$2:$A$183,"Balneário Camboriú",'Base completa'!$W$2:$W$183,"*"&amp;$A18&amp;"*")</f>
        <v>9</v>
      </c>
      <c r="D18" s="2" t="n">
        <f aca="false">COUNTIFS('Base completa'!$A$2:$A$183,"Camboriú",'Base completa'!$W$2:$W$183,"*"&amp;$A18&amp;"*")</f>
        <v>1</v>
      </c>
      <c r="E18" s="2" t="n">
        <f aca="false">COUNTIFS('Base completa'!$A$2:$A$183,"Itapema",'Base completa'!$W$2:$W$183,"*"&amp;$A18&amp;"*")</f>
        <v>7</v>
      </c>
      <c r="F18" s="2" t="n">
        <f aca="false">SUM(B18:E18)</f>
        <v>26</v>
      </c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 t="s">
        <v>48</v>
      </c>
      <c r="B19" s="2" t="n">
        <f aca="false">COUNTIFS('Base completa'!$A$2:$A$183,"Itajaí",'Base completa'!$W$2:$W$183,"*"&amp;$A19&amp;"*")</f>
        <v>7</v>
      </c>
      <c r="C19" s="2" t="n">
        <f aca="false">COUNTIFS('Base completa'!$A$2:$A$183,"Balneário Camboriú",'Base completa'!$W$2:$W$183,"*"&amp;$A19&amp;"*")</f>
        <v>8</v>
      </c>
      <c r="D19" s="2" t="n">
        <f aca="false">COUNTIFS('Base completa'!$A$2:$A$183,"Camboriú",'Base completa'!$W$2:$W$183,"*"&amp;$A19&amp;"*")</f>
        <v>0</v>
      </c>
      <c r="E19" s="2" t="n">
        <f aca="false">COUNTIFS('Base completa'!$A$2:$A$183,"Itapema",'Base completa'!$W$2:$W$183,"*"&amp;$A19&amp;"*")</f>
        <v>4</v>
      </c>
      <c r="F19" s="2" t="n">
        <f aca="false">SUM(B19:E19)</f>
        <v>19</v>
      </c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 t="s">
        <v>49</v>
      </c>
      <c r="B20" s="2" t="n">
        <f aca="false">COUNTIFS('Base completa'!$A$2:$A$183,"Itajaí",'Base completa'!$W$2:$W$183,"*"&amp;$A20&amp;"*")</f>
        <v>3</v>
      </c>
      <c r="C20" s="2" t="n">
        <f aca="false">COUNTIFS('Base completa'!$A$2:$A$183,"Balneário Camboriú",'Base completa'!$W$2:$W$183,"*"&amp;$A20&amp;"*")</f>
        <v>2</v>
      </c>
      <c r="D20" s="2" t="n">
        <f aca="false">COUNTIFS('Base completa'!$A$2:$A$183,"Camboriú",'Base completa'!$W$2:$W$183,"*"&amp;$A20&amp;"*")</f>
        <v>0</v>
      </c>
      <c r="E20" s="2" t="n">
        <f aca="false">COUNTIFS('Base completa'!$A$2:$A$183,"Itapema",'Base completa'!$W$2:$W$183,"*"&amp;$A20&amp;"*")</f>
        <v>4</v>
      </c>
      <c r="F20" s="2" t="n">
        <f aca="false">SUM(B20:E20)</f>
        <v>9</v>
      </c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 t="s">
        <v>50</v>
      </c>
      <c r="B21" s="2" t="n">
        <f aca="false">COUNTIFS('Base completa'!$A$2:$A$183,"Itajaí",'Base completa'!$W$2:$W$183,"*"&amp;$A21&amp;"*")</f>
        <v>9</v>
      </c>
      <c r="C21" s="2" t="n">
        <f aca="false">COUNTIFS('Base completa'!$A$2:$A$183,"Balneário Camboriú",'Base completa'!$W$2:$W$183,"*"&amp;$A21&amp;"*")</f>
        <v>10</v>
      </c>
      <c r="D21" s="2" t="n">
        <f aca="false">COUNTIFS('Base completa'!$A$2:$A$183,"Camboriú",'Base completa'!$W$2:$W$183,"*"&amp;$A21&amp;"*")</f>
        <v>2</v>
      </c>
      <c r="E21" s="2" t="n">
        <f aca="false">COUNTIFS('Base completa'!$A$2:$A$183,"Itapema",'Base completa'!$W$2:$W$183,"*"&amp;$A21&amp;"*")</f>
        <v>2</v>
      </c>
      <c r="F21" s="2" t="n">
        <f aca="false">SUM(B21:E21)</f>
        <v>23</v>
      </c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 t="s">
        <v>51</v>
      </c>
      <c r="B22" s="2" t="n">
        <f aca="false">COUNTIFS('Base completa'!$A$2:$A$183,"Itajaí",'Base completa'!$W$2:$W$183,"*"&amp;$A22&amp;"*")</f>
        <v>0</v>
      </c>
      <c r="C22" s="2" t="n">
        <f aca="false">COUNTIFS('Base completa'!$A$2:$A$183,"Balneário Camboriú",'Base completa'!$W$2:$W$183,"*"&amp;$A22&amp;"*")</f>
        <v>0</v>
      </c>
      <c r="D22" s="2" t="n">
        <f aca="false">COUNTIFS('Base completa'!$A$2:$A$183,"Camboriú",'Base completa'!$W$2:$W$183,"*"&amp;$A22&amp;"*")</f>
        <v>0</v>
      </c>
      <c r="E22" s="2" t="n">
        <f aca="false">COUNTIFS('Base completa'!$A$2:$A$183,"Itapema",'Base completa'!$W$2:$W$183,"*"&amp;$A22&amp;"*")</f>
        <v>0</v>
      </c>
      <c r="F22" s="2" t="n">
        <f aca="false">SUM(B22:E22)</f>
        <v>0</v>
      </c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 t="s">
        <v>52</v>
      </c>
      <c r="B23" s="2" t="n">
        <f aca="false">COUNTIFS('Base completa'!$A$2:$A$183,"Itajaí",'Base completa'!$W$2:$W$183,"*"&amp;$A23&amp;"*")</f>
        <v>16</v>
      </c>
      <c r="C23" s="2" t="n">
        <f aca="false">COUNTIFS('Base completa'!$A$2:$A$183,"Balneário Camboriú",'Base completa'!$W$2:$W$183,"*"&amp;$A23&amp;"*")</f>
        <v>17</v>
      </c>
      <c r="D23" s="2" t="n">
        <f aca="false">COUNTIFS('Base completa'!$A$2:$A$183,"Camboriú",'Base completa'!$W$2:$W$183,"*"&amp;$A23&amp;"*")</f>
        <v>2</v>
      </c>
      <c r="E23" s="2" t="n">
        <f aca="false">COUNTIFS('Base completa'!$A$2:$A$183,"Itapema",'Base completa'!$W$2:$W$183,"*"&amp;$A23&amp;"*")</f>
        <v>4</v>
      </c>
      <c r="F23" s="2" t="n">
        <f aca="false">SUM(B23:E23)</f>
        <v>39</v>
      </c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 t="s">
        <v>53</v>
      </c>
      <c r="B24" s="2" t="n">
        <f aca="false">COUNTIFS('Base completa'!$A$2:$A$183,"Itajaí",'Base completa'!$W$2:$W$183,"*"&amp;$A24&amp;"*")</f>
        <v>16</v>
      </c>
      <c r="C24" s="2" t="n">
        <f aca="false">COUNTIFS('Base completa'!$A$2:$A$183,"Balneário Camboriú",'Base completa'!$W$2:$W$183,"*"&amp;$A24&amp;"*")</f>
        <v>15</v>
      </c>
      <c r="D24" s="2" t="n">
        <f aca="false">COUNTIFS('Base completa'!$A$2:$A$183,"Camboriú",'Base completa'!$W$2:$W$183,"*"&amp;$A24&amp;"*")</f>
        <v>2</v>
      </c>
      <c r="E24" s="2" t="n">
        <f aca="false">COUNTIFS('Base completa'!$A$2:$A$183,"Itapema",'Base completa'!$W$2:$W$183,"*"&amp;$A24&amp;"*")</f>
        <v>3</v>
      </c>
      <c r="F24" s="2" t="n">
        <f aca="false">SUM(B24:E24)</f>
        <v>36</v>
      </c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 t="s">
        <v>54</v>
      </c>
      <c r="B25" s="2" t="n">
        <f aca="false">COUNTIFS('Base completa'!$A$2:$A$183,"Itajaí",'Base completa'!$W$2:$W$183,"*"&amp;$A25&amp;"*")</f>
        <v>6</v>
      </c>
      <c r="C25" s="2" t="n">
        <f aca="false">COUNTIFS('Base completa'!$A$2:$A$183,"Balneário Camboriú",'Base completa'!$W$2:$W$183,"*"&amp;$A25&amp;"*")</f>
        <v>3</v>
      </c>
      <c r="D25" s="2" t="n">
        <f aca="false">COUNTIFS('Base completa'!$A$2:$A$183,"Camboriú",'Base completa'!$W$2:$W$183,"*"&amp;$A25&amp;"*")</f>
        <v>1</v>
      </c>
      <c r="E25" s="2" t="n">
        <f aca="false">COUNTIFS('Base completa'!$A$2:$A$183,"Itapema",'Base completa'!$W$2:$W$183,"*"&amp;$A25&amp;"*")</f>
        <v>2</v>
      </c>
      <c r="F25" s="2" t="n">
        <f aca="false">SUM(B25:E25)</f>
        <v>12</v>
      </c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 t="s">
        <v>55</v>
      </c>
      <c r="B26" s="2" t="n">
        <f aca="false">COUNTIFS('Base completa'!$A$2:$A$183,"Itajaí",'Base completa'!$W$2:$W$183,"*"&amp;$A26&amp;"*")</f>
        <v>10</v>
      </c>
      <c r="C26" s="2" t="n">
        <f aca="false">COUNTIFS('Base completa'!$A$2:$A$183,"Balneário Camboriú",'Base completa'!$W$2:$W$183,"*"&amp;$A26&amp;"*")</f>
        <v>14</v>
      </c>
      <c r="D26" s="2" t="n">
        <f aca="false">COUNTIFS('Base completa'!$A$2:$A$183,"Camboriú",'Base completa'!$W$2:$W$183,"*"&amp;$A26&amp;"*")</f>
        <v>5</v>
      </c>
      <c r="E26" s="2" t="n">
        <f aca="false">COUNTIFS('Base completa'!$A$2:$A$183,"Itapema",'Base completa'!$W$2:$W$183,"*"&amp;$A26&amp;"*")</f>
        <v>8</v>
      </c>
      <c r="F26" s="2" t="n">
        <f aca="false">SUM(B26:E26)</f>
        <v>37</v>
      </c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 t="s">
        <v>56</v>
      </c>
      <c r="B27" s="2" t="n">
        <f aca="false">COUNTIFS('Base completa'!$A$2:$A$183,"Itajaí",'Base completa'!$W$2:$W$183,"*"&amp;$A27&amp;"*")</f>
        <v>5</v>
      </c>
      <c r="C27" s="2" t="n">
        <f aca="false">COUNTIFS('Base completa'!$A$2:$A$183,"Balneário Camboriú",'Base completa'!$W$2:$W$183,"*"&amp;$A27&amp;"*")</f>
        <v>0</v>
      </c>
      <c r="D27" s="2" t="n">
        <f aca="false">COUNTIFS('Base completa'!$A$2:$A$183,"Camboriú",'Base completa'!$W$2:$W$183,"*"&amp;$A27&amp;"*")</f>
        <v>0</v>
      </c>
      <c r="E27" s="2" t="n">
        <f aca="false">COUNTIFS('Base completa'!$A$2:$A$183,"Itapema",'Base completa'!$W$2:$W$183,"*"&amp;$A27&amp;"*")</f>
        <v>2</v>
      </c>
      <c r="F27" s="2" t="n">
        <f aca="false">SUM(B27:E27)</f>
        <v>7</v>
      </c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 t="s">
        <v>57</v>
      </c>
      <c r="B28" s="2" t="n">
        <f aca="false">COUNTIFS('Base completa'!$A$2:$A$183,"Itajaí",'Base completa'!$W$2:$W$183,"*"&amp;$A28&amp;"*")</f>
        <v>11</v>
      </c>
      <c r="C28" s="2" t="n">
        <f aca="false">COUNTIFS('Base completa'!$A$2:$A$183,"Balneário Camboriú",'Base completa'!$W$2:$W$183,"*"&amp;$A28&amp;"*")</f>
        <v>18</v>
      </c>
      <c r="D28" s="2" t="n">
        <f aca="false">COUNTIFS('Base completa'!$A$2:$A$183,"Camboriú",'Base completa'!$W$2:$W$183,"*"&amp;$A28&amp;"*")</f>
        <v>0</v>
      </c>
      <c r="E28" s="2" t="n">
        <f aca="false">COUNTIFS('Base completa'!$A$2:$A$183,"Itapema",'Base completa'!$W$2:$W$183,"*"&amp;$A28&amp;"*")</f>
        <v>5</v>
      </c>
      <c r="F28" s="2" t="n">
        <f aca="false">SUM(B28:E28)</f>
        <v>34</v>
      </c>
      <c r="G28" s="2"/>
      <c r="H28" s="2"/>
      <c r="I28" s="2"/>
      <c r="J28" s="2"/>
      <c r="K28" s="2"/>
      <c r="L28" s="2"/>
      <c r="M28" s="2"/>
      <c r="N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24"/>
    <col collapsed="false" customWidth="true" hidden="false" outlineLevel="0" max="22" min="22" style="0" width="20"/>
    <col collapsed="false" customWidth="true" hidden="false" outlineLevel="0" max="23" min="23" style="0" width="40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18"/>
    <col collapsed="false" customWidth="true" hidden="false" outlineLevel="0" max="28" min="27" style="0" width="8"/>
    <col collapsed="false" customWidth="true" hidden="false" outlineLevel="0" max="29" min="29" style="0" width="14"/>
    <col collapsed="false" customWidth="true" hidden="false" outlineLevel="0" max="30" min="30" style="0" width="34"/>
    <col collapsed="false" customWidth="true" hidden="false" outlineLevel="0" max="31" min="31" style="0" width="40"/>
    <col collapsed="false" customWidth="true" hidden="false" outlineLevel="0" max="32" min="32" style="0" width="60"/>
    <col collapsed="false" customWidth="true" hidden="false" outlineLevel="0" max="33" min="33" style="0" width="30"/>
    <col collapsed="false" customWidth="true" hidden="false" outlineLevel="0" max="34" min="34" style="0" width="14"/>
    <col collapsed="false" customWidth="true" hidden="false" outlineLevel="0" max="35" min="35" style="0" width="30"/>
  </cols>
  <sheetData>
    <row r="1" customFormat="false" ht="31.5" hidden="false" customHeight="true" outlineLevel="0" collapsed="false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30</v>
      </c>
      <c r="G1" s="12" t="s">
        <v>63</v>
      </c>
      <c r="H1" s="12" t="s">
        <v>16</v>
      </c>
      <c r="I1" s="12" t="s">
        <v>64</v>
      </c>
      <c r="J1" s="12" t="s">
        <v>65</v>
      </c>
      <c r="K1" s="12" t="s">
        <v>66</v>
      </c>
      <c r="L1" s="12" t="s">
        <v>67</v>
      </c>
      <c r="M1" s="12" t="s">
        <v>68</v>
      </c>
      <c r="N1" s="12" t="s">
        <v>69</v>
      </c>
      <c r="O1" s="12" t="s">
        <v>70</v>
      </c>
      <c r="P1" s="12" t="s">
        <v>71</v>
      </c>
      <c r="Q1" s="12" t="s">
        <v>72</v>
      </c>
      <c r="R1" s="12" t="s">
        <v>73</v>
      </c>
      <c r="S1" s="12" t="s">
        <v>74</v>
      </c>
      <c r="T1" s="12" t="s">
        <v>75</v>
      </c>
      <c r="U1" s="12" t="s">
        <v>76</v>
      </c>
      <c r="V1" s="12" t="s">
        <v>77</v>
      </c>
      <c r="W1" s="12" t="s">
        <v>78</v>
      </c>
      <c r="X1" s="12" t="s">
        <v>79</v>
      </c>
      <c r="Y1" s="12" t="s">
        <v>80</v>
      </c>
      <c r="Z1" s="12" t="s">
        <v>81</v>
      </c>
      <c r="AA1" s="12" t="s">
        <v>82</v>
      </c>
      <c r="AB1" s="12" t="s">
        <v>83</v>
      </c>
      <c r="AC1" s="12" t="s">
        <v>84</v>
      </c>
      <c r="AD1" s="12" t="s">
        <v>85</v>
      </c>
      <c r="AE1" s="12" t="s">
        <v>86</v>
      </c>
      <c r="AF1" s="12" t="s">
        <v>87</v>
      </c>
      <c r="AG1" s="12" t="s">
        <v>88</v>
      </c>
      <c r="AH1" s="12" t="s">
        <v>89</v>
      </c>
      <c r="AI1" s="12" t="s">
        <v>90</v>
      </c>
    </row>
    <row r="2" customFormat="false" ht="15" hidden="false" customHeight="false" outlineLevel="0" collapsed="false">
      <c r="A2" s="13" t="s">
        <v>35</v>
      </c>
      <c r="B2" s="13"/>
      <c r="C2" s="13" t="s">
        <v>91</v>
      </c>
      <c r="D2" s="13" t="s">
        <v>92</v>
      </c>
      <c r="E2" s="13" t="s">
        <v>30</v>
      </c>
      <c r="F2" s="13" t="s">
        <v>28</v>
      </c>
      <c r="G2" s="14" t="n">
        <v>1049161</v>
      </c>
      <c r="H2" s="13" t="s">
        <v>22</v>
      </c>
      <c r="I2" s="15" t="n">
        <v>0.0015</v>
      </c>
      <c r="J2" s="16" t="n">
        <f aca="false">IFERROR(INDEX('Como ler'!$B$20:$B$24,MATCH(H2,'Como ler'!$A$20:$A$24,0)),"")</f>
        <v>0.007</v>
      </c>
      <c r="K2" s="17" t="n">
        <f aca="false">IF(OR(I2="",J2=""),"",I2/J2)</f>
        <v>0.214285714285714</v>
      </c>
      <c r="L2" s="14" t="n">
        <v>2112</v>
      </c>
      <c r="M2" s="18" t="n">
        <v>86.8</v>
      </c>
      <c r="N2" s="14" t="n">
        <v>19137</v>
      </c>
      <c r="O2" s="17" t="n">
        <f aca="false">IF(OR(N2="",G2=0),"",N2/G2)</f>
        <v>0.0182402891453266</v>
      </c>
      <c r="P2" s="19" t="n">
        <v>0.42</v>
      </c>
      <c r="Q2" s="20" t="n">
        <v>0.9</v>
      </c>
      <c r="R2" s="21" t="n">
        <v>46286</v>
      </c>
      <c r="S2" s="22" t="n">
        <f aca="false">IF(R2="","",'Como ler'!$B$27-R2)</f>
        <v>6</v>
      </c>
      <c r="T2" s="13" t="n">
        <v>0</v>
      </c>
      <c r="U2" s="13"/>
      <c r="V2" s="13" t="s">
        <v>43</v>
      </c>
      <c r="W2" s="13" t="s">
        <v>93</v>
      </c>
      <c r="X2" s="23" t="s">
        <v>94</v>
      </c>
      <c r="Y2" s="13" t="n">
        <f aca="false">ROUND(IF(K2="",0,MIN(40,40*K2/1.5))+IF(S2="",0,IF(S2&lt;=7,20,IF(S2&lt;=30,12,IF(S2&lt;=90,5,0))))+IF(Q2="",0,MIN(15,Q2*5))+IF(O2="",0,MIN(15,O2*30))+IF(E2="Criador(a)",10,IF(E2="Especialista que cria conteúdo",6,4)),0)</f>
        <v>41</v>
      </c>
      <c r="Z2" s="13" t="s">
        <v>95</v>
      </c>
      <c r="AA2" s="13"/>
      <c r="AB2" s="13"/>
      <c r="AC2" s="13"/>
      <c r="AD2" s="13" t="s">
        <v>96</v>
      </c>
      <c r="AE2" s="13" t="s">
        <v>97</v>
      </c>
      <c r="AF2" s="13" t="s">
        <v>98</v>
      </c>
      <c r="AG2" s="24" t="s">
        <v>99</v>
      </c>
      <c r="AH2" s="13" t="s">
        <v>100</v>
      </c>
      <c r="AI2" s="13"/>
    </row>
    <row r="3" customFormat="false" ht="15" hidden="false" customHeight="false" outlineLevel="0" collapsed="false">
      <c r="A3" s="13" t="s">
        <v>35</v>
      </c>
      <c r="B3" s="13"/>
      <c r="C3" s="13" t="s">
        <v>101</v>
      </c>
      <c r="D3" s="13" t="s">
        <v>102</v>
      </c>
      <c r="E3" s="13" t="s">
        <v>30</v>
      </c>
      <c r="F3" s="13" t="s">
        <v>29</v>
      </c>
      <c r="G3" s="14" t="n">
        <v>189201</v>
      </c>
      <c r="H3" s="13" t="s">
        <v>21</v>
      </c>
      <c r="I3" s="15" t="n">
        <v>0.0033</v>
      </c>
      <c r="J3" s="16" t="n">
        <f aca="false">IFERROR(INDEX('Como ler'!$B$20:$B$24,MATCH(H3,'Como ler'!$A$20:$A$24,0)),"")</f>
        <v>0.01</v>
      </c>
      <c r="K3" s="17" t="n">
        <f aca="false">IF(OR(I3="",J3=""),"",I3/J3)</f>
        <v>0.33</v>
      </c>
      <c r="L3" s="14" t="n">
        <v>1060</v>
      </c>
      <c r="M3" s="18" t="n">
        <v>57.3</v>
      </c>
      <c r="N3" s="14" t="n">
        <v>22196</v>
      </c>
      <c r="O3" s="17" t="n">
        <f aca="false">IF(OR(N3="",G3=0),"",N3/G3)</f>
        <v>0.117314390515906</v>
      </c>
      <c r="P3" s="19" t="n">
        <v>0.67</v>
      </c>
      <c r="Q3" s="20" t="n">
        <v>0.7</v>
      </c>
      <c r="R3" s="21" t="n">
        <v>46292</v>
      </c>
      <c r="S3" s="22" t="n">
        <f aca="false">IF(R3="","",'Como ler'!$B$27-R3)</f>
        <v>0</v>
      </c>
      <c r="T3" s="13" t="n">
        <v>0</v>
      </c>
      <c r="U3" s="13"/>
      <c r="V3" s="13" t="s">
        <v>46</v>
      </c>
      <c r="W3" s="13" t="s">
        <v>103</v>
      </c>
      <c r="X3" s="25" t="s">
        <v>104</v>
      </c>
      <c r="Y3" s="13" t="n">
        <f aca="false">ROUND(IF(K3="",0,MIN(40,40*K3/1.5))+IF(S3="",0,IF(S3&lt;=7,20,IF(S3&lt;=30,12,IF(S3&lt;=90,5,0))))+IF(Q3="",0,MIN(15,Q3*5))+IF(O3="",0,MIN(15,O3*30))+IF(E3="Criador(a)",10,IF(E3="Especialista que cria conteúdo",6,4)),0)</f>
        <v>46</v>
      </c>
      <c r="Z3" s="13" t="s">
        <v>105</v>
      </c>
      <c r="AA3" s="13"/>
      <c r="AB3" s="13"/>
      <c r="AC3" s="13"/>
      <c r="AD3" s="13" t="s">
        <v>106</v>
      </c>
      <c r="AE3" s="13" t="s">
        <v>107</v>
      </c>
      <c r="AF3" s="13" t="s">
        <v>108</v>
      </c>
      <c r="AG3" s="24" t="s">
        <v>109</v>
      </c>
      <c r="AH3" s="13" t="s">
        <v>100</v>
      </c>
      <c r="AI3" s="13"/>
    </row>
    <row r="4" customFormat="false" ht="15" hidden="false" customHeight="false" outlineLevel="0" collapsed="false">
      <c r="A4" s="13" t="s">
        <v>35</v>
      </c>
      <c r="B4" s="13"/>
      <c r="C4" s="13" t="s">
        <v>110</v>
      </c>
      <c r="D4" s="13" t="s">
        <v>111</v>
      </c>
      <c r="E4" s="13" t="s">
        <v>30</v>
      </c>
      <c r="F4" s="13" t="s">
        <v>29</v>
      </c>
      <c r="G4" s="14" t="n">
        <v>100790</v>
      </c>
      <c r="H4" s="13" t="s">
        <v>21</v>
      </c>
      <c r="I4" s="15"/>
      <c r="J4" s="16" t="n">
        <f aca="false">IFERROR(INDEX('Como ler'!$B$20:$B$24,MATCH(H4,'Como ler'!$A$20:$A$24,0)),"")</f>
        <v>0.01</v>
      </c>
      <c r="K4" s="17" t="str">
        <f aca="false">IF(OR(I4="",J4=""),"",I4/J4)</f>
        <v/>
      </c>
      <c r="L4" s="14"/>
      <c r="M4" s="18" t="n">
        <v>48.2</v>
      </c>
      <c r="N4" s="14" t="n">
        <v>2518</v>
      </c>
      <c r="O4" s="17" t="n">
        <f aca="false">IF(OR(N4="",G4=0),"",N4/G4)</f>
        <v>0.0249826371663856</v>
      </c>
      <c r="P4" s="19" t="n">
        <v>0.89</v>
      </c>
      <c r="Q4" s="20" t="n">
        <v>1.5</v>
      </c>
      <c r="R4" s="21" t="n">
        <v>46284</v>
      </c>
      <c r="S4" s="22" t="n">
        <f aca="false">IF(R4="","",'Como ler'!$B$27-R4)</f>
        <v>8</v>
      </c>
      <c r="T4" s="13" t="n">
        <v>0</v>
      </c>
      <c r="U4" s="13"/>
      <c r="V4" s="13" t="s">
        <v>57</v>
      </c>
      <c r="W4" s="13" t="s">
        <v>112</v>
      </c>
      <c r="X4" s="25" t="s">
        <v>104</v>
      </c>
      <c r="Y4" s="13" t="n">
        <f aca="false">ROUND(IF(K4="",0,MIN(40,40*K4/1.5))+IF(S4="",0,IF(S4&lt;=7,20,IF(S4&lt;=30,12,IF(S4&lt;=90,5,0))))+IF(Q4="",0,MIN(15,Q4*5))+IF(O4="",0,MIN(15,O4*30))+IF(E4="Criador(a)",10,IF(E4="Especialista que cria conteúdo",6,4)),0)</f>
        <v>30</v>
      </c>
      <c r="Z4" s="13" t="s">
        <v>105</v>
      </c>
      <c r="AA4" s="13"/>
      <c r="AB4" s="13" t="s">
        <v>113</v>
      </c>
      <c r="AC4" s="13" t="s">
        <v>114</v>
      </c>
      <c r="AD4" s="13" t="s">
        <v>115</v>
      </c>
      <c r="AE4" s="13" t="s">
        <v>116</v>
      </c>
      <c r="AF4" s="13" t="s">
        <v>117</v>
      </c>
      <c r="AG4" s="24" t="s">
        <v>118</v>
      </c>
      <c r="AH4" s="13" t="s">
        <v>100</v>
      </c>
      <c r="AI4" s="13" t="s">
        <v>119</v>
      </c>
    </row>
    <row r="5" customFormat="false" ht="15" hidden="false" customHeight="false" outlineLevel="0" collapsed="false">
      <c r="A5" s="13" t="s">
        <v>35</v>
      </c>
      <c r="B5" s="13"/>
      <c r="C5" s="13" t="s">
        <v>120</v>
      </c>
      <c r="D5" s="13" t="s">
        <v>121</v>
      </c>
      <c r="E5" s="13" t="s">
        <v>30</v>
      </c>
      <c r="F5" s="13" t="s">
        <v>28</v>
      </c>
      <c r="G5" s="14" t="n">
        <v>89409</v>
      </c>
      <c r="H5" s="13" t="s">
        <v>20</v>
      </c>
      <c r="I5" s="15" t="n">
        <v>0.0014</v>
      </c>
      <c r="J5" s="16" t="n">
        <f aca="false">IFERROR(INDEX('Como ler'!$B$20:$B$24,MATCH(H5,'Como ler'!$A$20:$A$24,0)),"")</f>
        <v>0.015</v>
      </c>
      <c r="K5" s="17" t="n">
        <f aca="false">IF(OR(I5="",J5=""),"",I5/J5)</f>
        <v>0.0933333333333333</v>
      </c>
      <c r="L5" s="14" t="n">
        <v>264</v>
      </c>
      <c r="M5" s="18" t="n">
        <v>41.7</v>
      </c>
      <c r="N5" s="14" t="n">
        <v>1456</v>
      </c>
      <c r="O5" s="17" t="n">
        <f aca="false">IF(OR(N5="",G5=0),"",N5/G5)</f>
        <v>0.0162847140668165</v>
      </c>
      <c r="P5" s="19" t="n">
        <v>0.67</v>
      </c>
      <c r="Q5" s="20" t="n">
        <v>6.2</v>
      </c>
      <c r="R5" s="21" t="n">
        <v>46289</v>
      </c>
      <c r="S5" s="22" t="n">
        <f aca="false">IF(R5="","",'Como ler'!$B$27-R5)</f>
        <v>3</v>
      </c>
      <c r="T5" s="13" t="n">
        <v>0</v>
      </c>
      <c r="U5" s="13"/>
      <c r="V5" s="13" t="s">
        <v>52</v>
      </c>
      <c r="W5" s="13" t="s">
        <v>52</v>
      </c>
      <c r="X5" s="23" t="s">
        <v>94</v>
      </c>
      <c r="Y5" s="13" t="n">
        <f aca="false">ROUND(IF(K5="",0,MIN(40,40*K5/1.5))+IF(S5="",0,IF(S5&lt;=7,20,IF(S5&lt;=30,12,IF(S5&lt;=90,5,0))))+IF(Q5="",0,MIN(15,Q5*5))+IF(O5="",0,MIN(15,O5*30))+IF(E5="Criador(a)",10,IF(E5="Especialista que cria conteúdo",6,4)),0)</f>
        <v>48</v>
      </c>
      <c r="Z5" s="13" t="s">
        <v>105</v>
      </c>
      <c r="AA5" s="13" t="s">
        <v>113</v>
      </c>
      <c r="AB5" s="13" t="s">
        <v>113</v>
      </c>
      <c r="AC5" s="13"/>
      <c r="AD5" s="13" t="s">
        <v>122</v>
      </c>
      <c r="AE5" s="13" t="s">
        <v>123</v>
      </c>
      <c r="AF5" s="13" t="s">
        <v>124</v>
      </c>
      <c r="AG5" s="24" t="s">
        <v>125</v>
      </c>
      <c r="AH5" s="13" t="s">
        <v>100</v>
      </c>
      <c r="AI5" s="13"/>
    </row>
    <row r="6" customFormat="false" ht="15" hidden="false" customHeight="false" outlineLevel="0" collapsed="false">
      <c r="A6" s="13" t="s">
        <v>35</v>
      </c>
      <c r="B6" s="13"/>
      <c r="C6" s="13" t="s">
        <v>126</v>
      </c>
      <c r="D6" s="13" t="s">
        <v>127</v>
      </c>
      <c r="E6" s="13" t="s">
        <v>30</v>
      </c>
      <c r="F6" s="13" t="s">
        <v>29</v>
      </c>
      <c r="G6" s="14" t="n">
        <v>83440</v>
      </c>
      <c r="H6" s="13" t="s">
        <v>20</v>
      </c>
      <c r="I6" s="15" t="n">
        <v>0.0109</v>
      </c>
      <c r="J6" s="16" t="n">
        <f aca="false">IFERROR(INDEX('Como ler'!$B$20:$B$24,MATCH(H6,'Como ler'!$A$20:$A$24,0)),"")</f>
        <v>0.015</v>
      </c>
      <c r="K6" s="17" t="n">
        <f aca="false">IF(OR(I6="",J6=""),"",I6/J6)</f>
        <v>0.726666666666667</v>
      </c>
      <c r="L6" s="14" t="n">
        <v>1267</v>
      </c>
      <c r="M6" s="18" t="n">
        <v>140</v>
      </c>
      <c r="N6" s="14" t="n">
        <v>9851</v>
      </c>
      <c r="O6" s="17" t="n">
        <f aca="false">IF(OR(N6="",G6=0),"",N6/G6)</f>
        <v>0.118060882070949</v>
      </c>
      <c r="P6" s="19" t="n">
        <v>0.9</v>
      </c>
      <c r="Q6" s="20" t="n">
        <v>15.8</v>
      </c>
      <c r="R6" s="21" t="n">
        <v>46291</v>
      </c>
      <c r="S6" s="22" t="n">
        <f aca="false">IF(R6="","",'Como ler'!$B$27-R6)</f>
        <v>1</v>
      </c>
      <c r="T6" s="13" t="n">
        <v>0</v>
      </c>
      <c r="U6" s="13"/>
      <c r="V6" s="13" t="s">
        <v>49</v>
      </c>
      <c r="W6" s="13" t="s">
        <v>128</v>
      </c>
      <c r="X6" s="26" t="s">
        <v>129</v>
      </c>
      <c r="Y6" s="13" t="n">
        <f aca="false">ROUND(IF(K6="",0,MIN(40,40*K6/1.5))+IF(S6="",0,IF(S6&lt;=7,20,IF(S6&lt;=30,12,IF(S6&lt;=90,5,0))))+IF(Q6="",0,MIN(15,Q6*5))+IF(O6="",0,MIN(15,O6*30))+IF(E6="Criador(a)",10,IF(E6="Especialista que cria conteúdo",6,4)),0)</f>
        <v>68</v>
      </c>
      <c r="Z6" s="13"/>
      <c r="AA6" s="13"/>
      <c r="AB6" s="13"/>
      <c r="AC6" s="13" t="s">
        <v>130</v>
      </c>
      <c r="AD6" s="13" t="s">
        <v>131</v>
      </c>
      <c r="AE6" s="13" t="s">
        <v>132</v>
      </c>
      <c r="AF6" s="13" t="s">
        <v>133</v>
      </c>
      <c r="AG6" s="24" t="s">
        <v>134</v>
      </c>
      <c r="AH6" s="13" t="s">
        <v>100</v>
      </c>
      <c r="AI6" s="13"/>
    </row>
    <row r="7" customFormat="false" ht="15" hidden="false" customHeight="false" outlineLevel="0" collapsed="false">
      <c r="A7" s="13" t="s">
        <v>35</v>
      </c>
      <c r="B7" s="13"/>
      <c r="C7" s="13" t="s">
        <v>135</v>
      </c>
      <c r="D7" s="13" t="s">
        <v>136</v>
      </c>
      <c r="E7" s="13" t="s">
        <v>30</v>
      </c>
      <c r="F7" s="13" t="s">
        <v>28</v>
      </c>
      <c r="G7" s="14" t="n">
        <v>78728</v>
      </c>
      <c r="H7" s="13" t="s">
        <v>20</v>
      </c>
      <c r="I7" s="15" t="n">
        <v>0.0063</v>
      </c>
      <c r="J7" s="16" t="n">
        <f aca="false">IFERROR(INDEX('Como ler'!$B$20:$B$24,MATCH(H7,'Como ler'!$A$20:$A$24,0)),"")</f>
        <v>0.015</v>
      </c>
      <c r="K7" s="17" t="n">
        <f aca="false">IF(OR(I7="",J7=""),"",I7/J7)</f>
        <v>0.42</v>
      </c>
      <c r="L7" s="14" t="n">
        <v>543</v>
      </c>
      <c r="M7" s="18" t="n">
        <v>26.1</v>
      </c>
      <c r="N7" s="14" t="n">
        <v>5011</v>
      </c>
      <c r="O7" s="17" t="n">
        <f aca="false">IF(OR(N7="",G7=0),"",N7/G7)</f>
        <v>0.063649527487044</v>
      </c>
      <c r="P7" s="19" t="n">
        <v>0.9</v>
      </c>
      <c r="Q7" s="20" t="n">
        <v>15.8</v>
      </c>
      <c r="R7" s="21" t="n">
        <v>46292</v>
      </c>
      <c r="S7" s="22" t="n">
        <f aca="false">IF(R7="","",'Como ler'!$B$27-R7)</f>
        <v>0</v>
      </c>
      <c r="T7" s="13" t="n">
        <v>0</v>
      </c>
      <c r="U7" s="13"/>
      <c r="V7" s="13" t="s">
        <v>48</v>
      </c>
      <c r="W7" s="13" t="s">
        <v>137</v>
      </c>
      <c r="X7" s="26" t="s">
        <v>129</v>
      </c>
      <c r="Y7" s="13" t="n">
        <f aca="false">ROUND(IF(K7="",0,MIN(40,40*K7/1.5))+IF(S7="",0,IF(S7&lt;=7,20,IF(S7&lt;=30,12,IF(S7&lt;=90,5,0))))+IF(Q7="",0,MIN(15,Q7*5))+IF(O7="",0,MIN(15,O7*30))+IF(E7="Criador(a)",10,IF(E7="Especialista que cria conteúdo",6,4)),0)</f>
        <v>58</v>
      </c>
      <c r="Z7" s="13" t="s">
        <v>105</v>
      </c>
      <c r="AA7" s="13" t="s">
        <v>113</v>
      </c>
      <c r="AB7" s="13"/>
      <c r="AC7" s="13"/>
      <c r="AD7" s="13" t="s">
        <v>138</v>
      </c>
      <c r="AE7" s="13" t="s">
        <v>139</v>
      </c>
      <c r="AF7" s="13" t="s">
        <v>140</v>
      </c>
      <c r="AG7" s="24" t="s">
        <v>141</v>
      </c>
      <c r="AH7" s="13" t="s">
        <v>100</v>
      </c>
      <c r="AI7" s="13"/>
    </row>
    <row r="8" customFormat="false" ht="15" hidden="false" customHeight="false" outlineLevel="0" collapsed="false">
      <c r="A8" s="13" t="s">
        <v>35</v>
      </c>
      <c r="B8" s="13"/>
      <c r="C8" s="13" t="s">
        <v>142</v>
      </c>
      <c r="D8" s="13" t="s">
        <v>143</v>
      </c>
      <c r="E8" s="13" t="s">
        <v>30</v>
      </c>
      <c r="F8" s="13" t="s">
        <v>29</v>
      </c>
      <c r="G8" s="14" t="n">
        <v>76287</v>
      </c>
      <c r="H8" s="13" t="s">
        <v>20</v>
      </c>
      <c r="I8" s="15" t="n">
        <v>0.0016</v>
      </c>
      <c r="J8" s="16" t="n">
        <f aca="false">IFERROR(INDEX('Como ler'!$B$20:$B$24,MATCH(H8,'Como ler'!$A$20:$A$24,0)),"")</f>
        <v>0.015</v>
      </c>
      <c r="K8" s="17" t="n">
        <f aca="false">IF(OR(I8="",J8=""),"",I8/J8)</f>
        <v>0.106666666666667</v>
      </c>
      <c r="L8" s="14" t="n">
        <v>136</v>
      </c>
      <c r="M8" s="18" t="n">
        <v>16.4</v>
      </c>
      <c r="N8" s="14" t="n">
        <v>2219</v>
      </c>
      <c r="O8" s="17" t="n">
        <f aca="false">IF(OR(N8="",G8=0),"",N8/G8)</f>
        <v>0.0290875247420924</v>
      </c>
      <c r="P8" s="19" t="n">
        <v>0.9</v>
      </c>
      <c r="Q8" s="20" t="n">
        <v>21</v>
      </c>
      <c r="R8" s="21" t="n">
        <v>46292</v>
      </c>
      <c r="S8" s="22" t="n">
        <f aca="false">IF(R8="","",'Como ler'!$B$27-R8)</f>
        <v>0</v>
      </c>
      <c r="T8" s="13" t="n">
        <v>0</v>
      </c>
      <c r="U8" s="13"/>
      <c r="V8" s="13" t="s">
        <v>48</v>
      </c>
      <c r="W8" s="13" t="s">
        <v>144</v>
      </c>
      <c r="X8" s="23" t="s">
        <v>94</v>
      </c>
      <c r="Y8" s="13" t="n">
        <f aca="false">ROUND(IF(K8="",0,MIN(40,40*K8/1.5))+IF(S8="",0,IF(S8&lt;=7,20,IF(S8&lt;=30,12,IF(S8&lt;=90,5,0))))+IF(Q8="",0,MIN(15,Q8*5))+IF(O8="",0,MIN(15,O8*30))+IF(E8="Criador(a)",10,IF(E8="Especialista que cria conteúdo",6,4)),0)</f>
        <v>49</v>
      </c>
      <c r="Z8" s="13" t="s">
        <v>105</v>
      </c>
      <c r="AA8" s="13" t="s">
        <v>113</v>
      </c>
      <c r="AB8" s="13"/>
      <c r="AC8" s="13"/>
      <c r="AD8" s="13" t="s">
        <v>138</v>
      </c>
      <c r="AE8" s="13" t="s">
        <v>145</v>
      </c>
      <c r="AF8" s="13" t="s">
        <v>146</v>
      </c>
      <c r="AG8" s="24" t="s">
        <v>147</v>
      </c>
      <c r="AH8" s="13" t="s">
        <v>100</v>
      </c>
      <c r="AI8" s="13"/>
    </row>
    <row r="9" customFormat="false" ht="15" hidden="false" customHeight="false" outlineLevel="0" collapsed="false">
      <c r="A9" s="13" t="s">
        <v>35</v>
      </c>
      <c r="B9" s="13"/>
      <c r="C9" s="13" t="s">
        <v>148</v>
      </c>
      <c r="D9" s="13" t="s">
        <v>149</v>
      </c>
      <c r="E9" s="13" t="s">
        <v>30</v>
      </c>
      <c r="F9" s="13" t="s">
        <v>29</v>
      </c>
      <c r="G9" s="14" t="n">
        <v>69075</v>
      </c>
      <c r="H9" s="13" t="s">
        <v>20</v>
      </c>
      <c r="I9" s="15" t="n">
        <v>0.0037</v>
      </c>
      <c r="J9" s="16" t="n">
        <f aca="false">IFERROR(INDEX('Como ler'!$B$20:$B$24,MATCH(H9,'Como ler'!$A$20:$A$24,0)),"")</f>
        <v>0.015</v>
      </c>
      <c r="K9" s="17" t="n">
        <f aca="false">IF(OR(I9="",J9=""),"",I9/J9)</f>
        <v>0.246666666666667</v>
      </c>
      <c r="L9" s="14" t="n">
        <v>430</v>
      </c>
      <c r="M9" s="18" t="n">
        <v>51.8</v>
      </c>
      <c r="N9" s="14" t="n">
        <v>4448</v>
      </c>
      <c r="O9" s="17" t="n">
        <f aca="false">IF(OR(N9="",G9=0),"",N9/G9)</f>
        <v>0.0643937748823742</v>
      </c>
      <c r="P9" s="19" t="n">
        <v>0.83</v>
      </c>
      <c r="Q9" s="20" t="n">
        <v>77</v>
      </c>
      <c r="R9" s="21" t="n">
        <v>46291</v>
      </c>
      <c r="S9" s="22" t="n">
        <f aca="false">IF(R9="","",'Como ler'!$B$27-R9)</f>
        <v>1</v>
      </c>
      <c r="T9" s="13" t="n">
        <v>0</v>
      </c>
      <c r="U9" s="13"/>
      <c r="V9" s="13" t="s">
        <v>52</v>
      </c>
      <c r="W9" s="13" t="s">
        <v>150</v>
      </c>
      <c r="X9" s="23" t="s">
        <v>94</v>
      </c>
      <c r="Y9" s="13" t="n">
        <f aca="false">ROUND(IF(K9="",0,MIN(40,40*K9/1.5))+IF(S9="",0,IF(S9&lt;=7,20,IF(S9&lt;=30,12,IF(S9&lt;=90,5,0))))+IF(Q9="",0,MIN(15,Q9*5))+IF(O9="",0,MIN(15,O9*30))+IF(E9="Criador(a)",10,IF(E9="Especialista que cria conteúdo",6,4)),0)</f>
        <v>54</v>
      </c>
      <c r="Z9" s="13" t="s">
        <v>105</v>
      </c>
      <c r="AA9" s="13"/>
      <c r="AB9" s="13"/>
      <c r="AC9" s="13"/>
      <c r="AD9" s="13" t="s">
        <v>151</v>
      </c>
      <c r="AE9" s="13" t="s">
        <v>152</v>
      </c>
      <c r="AF9" s="13" t="s">
        <v>153</v>
      </c>
      <c r="AG9" s="24" t="s">
        <v>154</v>
      </c>
      <c r="AH9" s="13" t="s">
        <v>100</v>
      </c>
      <c r="AI9" s="13"/>
    </row>
    <row r="10" customFormat="false" ht="15" hidden="false" customHeight="false" outlineLevel="0" collapsed="false">
      <c r="A10" s="13" t="s">
        <v>35</v>
      </c>
      <c r="B10" s="13" t="s">
        <v>36</v>
      </c>
      <c r="C10" s="13" t="s">
        <v>155</v>
      </c>
      <c r="D10" s="13" t="s">
        <v>156</v>
      </c>
      <c r="E10" s="13" t="s">
        <v>157</v>
      </c>
      <c r="F10" s="13" t="s">
        <v>28</v>
      </c>
      <c r="G10" s="14" t="n">
        <v>65364</v>
      </c>
      <c r="H10" s="13" t="s">
        <v>20</v>
      </c>
      <c r="I10" s="15" t="n">
        <v>0.0039</v>
      </c>
      <c r="J10" s="16" t="n">
        <f aca="false">IFERROR(INDEX('Como ler'!$B$20:$B$24,MATCH(H10,'Como ler'!$A$20:$A$24,0)),"")</f>
        <v>0.015</v>
      </c>
      <c r="K10" s="17" t="n">
        <f aca="false">IF(OR(I10="",J10=""),"",I10/J10)</f>
        <v>0.26</v>
      </c>
      <c r="L10" s="14" t="n">
        <v>339</v>
      </c>
      <c r="M10" s="18" t="n">
        <v>7.1</v>
      </c>
      <c r="N10" s="14" t="n">
        <v>5204</v>
      </c>
      <c r="O10" s="17" t="n">
        <f aca="false">IF(OR(N10="",G10=0),"",N10/G10)</f>
        <v>0.0796156905942109</v>
      </c>
      <c r="P10" s="19" t="n">
        <v>0.7</v>
      </c>
      <c r="Q10" s="20" t="n">
        <v>2.1</v>
      </c>
      <c r="R10" s="21" t="n">
        <v>46291</v>
      </c>
      <c r="S10" s="22" t="n">
        <f aca="false">IF(R10="","",'Como ler'!$B$27-R10)</f>
        <v>1</v>
      </c>
      <c r="T10" s="13" t="n">
        <v>0</v>
      </c>
      <c r="U10" s="13"/>
      <c r="V10" s="13" t="s">
        <v>47</v>
      </c>
      <c r="W10" s="13" t="s">
        <v>158</v>
      </c>
      <c r="X10" s="23" t="s">
        <v>94</v>
      </c>
      <c r="Y10" s="13" t="n">
        <f aca="false">ROUND(IF(K10="",0,MIN(40,40*K10/1.5))+IF(S10="",0,IF(S10&lt;=7,20,IF(S10&lt;=30,12,IF(S10&lt;=90,5,0))))+IF(Q10="",0,MIN(15,Q10*5))+IF(O10="",0,MIN(15,O10*30))+IF(E10="Criador(a)",10,IF(E10="Especialista que cria conteúdo",6,4)),0)</f>
        <v>46</v>
      </c>
      <c r="Z10" s="13" t="s">
        <v>159</v>
      </c>
      <c r="AA10" s="13" t="s">
        <v>113</v>
      </c>
      <c r="AB10" s="13" t="s">
        <v>113</v>
      </c>
      <c r="AC10" s="13"/>
      <c r="AD10" s="13" t="s">
        <v>160</v>
      </c>
      <c r="AE10" s="13" t="s">
        <v>161</v>
      </c>
      <c r="AF10" s="13" t="s">
        <v>162</v>
      </c>
      <c r="AG10" s="24" t="s">
        <v>163</v>
      </c>
      <c r="AH10" s="13" t="s">
        <v>100</v>
      </c>
      <c r="AI10" s="13"/>
    </row>
    <row r="11" customFormat="false" ht="15" hidden="false" customHeight="false" outlineLevel="0" collapsed="false">
      <c r="A11" s="13" t="s">
        <v>35</v>
      </c>
      <c r="B11" s="13"/>
      <c r="C11" s="13" t="s">
        <v>164</v>
      </c>
      <c r="D11" s="13" t="s">
        <v>165</v>
      </c>
      <c r="E11" s="13" t="s">
        <v>157</v>
      </c>
      <c r="F11" s="13" t="s">
        <v>28</v>
      </c>
      <c r="G11" s="14" t="n">
        <v>52669</v>
      </c>
      <c r="H11" s="13" t="s">
        <v>20</v>
      </c>
      <c r="I11" s="15" t="n">
        <v>0.002</v>
      </c>
      <c r="J11" s="16" t="n">
        <f aca="false">IFERROR(INDEX('Como ler'!$B$20:$B$24,MATCH(H11,'Como ler'!$A$20:$A$24,0)),"")</f>
        <v>0.015</v>
      </c>
      <c r="K11" s="17" t="n">
        <f aca="false">IF(OR(I11="",J11=""),"",I11/J11)</f>
        <v>0.133333333333333</v>
      </c>
      <c r="L11" s="14" t="n">
        <v>92</v>
      </c>
      <c r="M11" s="18" t="n">
        <v>7.3</v>
      </c>
      <c r="N11" s="14" t="n">
        <v>1675</v>
      </c>
      <c r="O11" s="17" t="n">
        <f aca="false">IF(OR(N11="",G11=0),"",N11/G11)</f>
        <v>0.0318023885017752</v>
      </c>
      <c r="P11" s="19" t="n">
        <v>0.27</v>
      </c>
      <c r="Q11" s="20" t="n">
        <v>5</v>
      </c>
      <c r="R11" s="21" t="n">
        <v>46286</v>
      </c>
      <c r="S11" s="22" t="n">
        <f aca="false">IF(R11="","",'Como ler'!$B$27-R11)</f>
        <v>6</v>
      </c>
      <c r="T11" s="13" t="n">
        <v>0</v>
      </c>
      <c r="U11" s="13"/>
      <c r="V11" s="13" t="s">
        <v>54</v>
      </c>
      <c r="W11" s="13" t="s">
        <v>166</v>
      </c>
      <c r="X11" s="26" t="s">
        <v>129</v>
      </c>
      <c r="Y11" s="13" t="n">
        <f aca="false">ROUND(IF(K11="",0,MIN(40,40*K11/1.5))+IF(S11="",0,IF(S11&lt;=7,20,IF(S11&lt;=30,12,IF(S11&lt;=90,5,0))))+IF(Q11="",0,MIN(15,Q11*5))+IF(O11="",0,MIN(15,O11*30))+IF(E11="Criador(a)",10,IF(E11="Especialista que cria conteúdo",6,4)),0)</f>
        <v>46</v>
      </c>
      <c r="Z11" s="13" t="s">
        <v>105</v>
      </c>
      <c r="AA11" s="13"/>
      <c r="AB11" s="13"/>
      <c r="AC11" s="13"/>
      <c r="AD11" s="13" t="s">
        <v>106</v>
      </c>
      <c r="AE11" s="13" t="s">
        <v>167</v>
      </c>
      <c r="AF11" s="13" t="s">
        <v>168</v>
      </c>
      <c r="AG11" s="24" t="s">
        <v>169</v>
      </c>
      <c r="AH11" s="13" t="s">
        <v>100</v>
      </c>
      <c r="AI11" s="13"/>
    </row>
    <row r="12" customFormat="false" ht="15" hidden="false" customHeight="false" outlineLevel="0" collapsed="false">
      <c r="A12" s="13" t="s">
        <v>35</v>
      </c>
      <c r="B12" s="13" t="s">
        <v>36</v>
      </c>
      <c r="C12" s="13" t="s">
        <v>170</v>
      </c>
      <c r="D12" s="13" t="s">
        <v>171</v>
      </c>
      <c r="E12" s="13" t="s">
        <v>30</v>
      </c>
      <c r="F12" s="13" t="s">
        <v>28</v>
      </c>
      <c r="G12" s="14" t="n">
        <v>48271</v>
      </c>
      <c r="H12" s="13" t="s">
        <v>20</v>
      </c>
      <c r="I12" s="15" t="n">
        <v>0.0009</v>
      </c>
      <c r="J12" s="16" t="n">
        <f aca="false">IFERROR(INDEX('Como ler'!$B$20:$B$24,MATCH(H12,'Como ler'!$A$20:$A$24,0)),"")</f>
        <v>0.015</v>
      </c>
      <c r="K12" s="17" t="n">
        <f aca="false">IF(OR(I12="",J12=""),"",I12/J12)</f>
        <v>0.06</v>
      </c>
      <c r="L12" s="14" t="n">
        <v>37</v>
      </c>
      <c r="M12" s="18" t="n">
        <v>7</v>
      </c>
      <c r="N12" s="14" t="n">
        <v>286</v>
      </c>
      <c r="O12" s="17" t="n">
        <f aca="false">IF(OR(N12="",G12=0),"",N12/G12)</f>
        <v>0.00592488243458806</v>
      </c>
      <c r="P12" s="19" t="n">
        <v>0.56</v>
      </c>
      <c r="Q12" s="20" t="n">
        <v>0.8</v>
      </c>
      <c r="R12" s="21" t="n">
        <v>46292</v>
      </c>
      <c r="S12" s="22" t="n">
        <f aca="false">IF(R12="","",'Como ler'!$B$27-R12)</f>
        <v>0</v>
      </c>
      <c r="T12" s="13" t="n">
        <v>0</v>
      </c>
      <c r="U12" s="13"/>
      <c r="V12" s="13" t="s">
        <v>46</v>
      </c>
      <c r="W12" s="13" t="s">
        <v>172</v>
      </c>
      <c r="X12" s="23" t="s">
        <v>94</v>
      </c>
      <c r="Y12" s="13" t="n">
        <f aca="false">ROUND(IF(K12="",0,MIN(40,40*K12/1.5))+IF(S12="",0,IF(S12&lt;=7,20,IF(S12&lt;=30,12,IF(S12&lt;=90,5,0))))+IF(Q12="",0,MIN(15,Q12*5))+IF(O12="",0,MIN(15,O12*30))+IF(E12="Criador(a)",10,IF(E12="Especialista que cria conteúdo",6,4)),0)</f>
        <v>36</v>
      </c>
      <c r="Z12" s="13" t="s">
        <v>105</v>
      </c>
      <c r="AA12" s="13"/>
      <c r="AB12" s="13" t="s">
        <v>113</v>
      </c>
      <c r="AC12" s="13"/>
      <c r="AD12" s="13" t="s">
        <v>173</v>
      </c>
      <c r="AE12" s="13" t="s">
        <v>174</v>
      </c>
      <c r="AF12" s="13" t="s">
        <v>175</v>
      </c>
      <c r="AG12" s="24" t="s">
        <v>176</v>
      </c>
      <c r="AH12" s="13" t="s">
        <v>100</v>
      </c>
      <c r="AI12" s="13"/>
    </row>
    <row r="13" customFormat="false" ht="15" hidden="false" customHeight="false" outlineLevel="0" collapsed="false">
      <c r="A13" s="13" t="s">
        <v>35</v>
      </c>
      <c r="B13" s="13"/>
      <c r="C13" s="13" t="s">
        <v>177</v>
      </c>
      <c r="D13" s="13" t="s">
        <v>178</v>
      </c>
      <c r="E13" s="13" t="s">
        <v>30</v>
      </c>
      <c r="F13" s="13" t="s">
        <v>28</v>
      </c>
      <c r="G13" s="14" t="n">
        <v>42854</v>
      </c>
      <c r="H13" s="13" t="s">
        <v>20</v>
      </c>
      <c r="I13" s="15" t="n">
        <v>0.0101</v>
      </c>
      <c r="J13" s="16" t="n">
        <f aca="false">IFERROR(INDEX('Como ler'!$B$20:$B$24,MATCH(H13,'Como ler'!$A$20:$A$24,0)),"")</f>
        <v>0.015</v>
      </c>
      <c r="K13" s="17" t="n">
        <f aca="false">IF(OR(I13="",J13=""),"",I13/J13)</f>
        <v>0.673333333333333</v>
      </c>
      <c r="L13" s="14" t="n">
        <v>769</v>
      </c>
      <c r="M13" s="18" t="n">
        <v>80.4</v>
      </c>
      <c r="N13" s="14" t="n">
        <v>3651</v>
      </c>
      <c r="O13" s="17" t="n">
        <f aca="false">IF(OR(N13="",G13=0),"",N13/G13)</f>
        <v>0.0851962477248332</v>
      </c>
      <c r="P13" s="19" t="n">
        <v>1</v>
      </c>
      <c r="Q13" s="20" t="n">
        <v>6.4</v>
      </c>
      <c r="R13" s="21" t="n">
        <v>46288</v>
      </c>
      <c r="S13" s="22" t="n">
        <f aca="false">IF(R13="","",'Como ler'!$B$27-R13)</f>
        <v>4</v>
      </c>
      <c r="T13" s="13" t="n">
        <v>1</v>
      </c>
      <c r="U13" s="13" t="s">
        <v>179</v>
      </c>
      <c r="V13" s="13" t="s">
        <v>45</v>
      </c>
      <c r="W13" s="13" t="s">
        <v>180</v>
      </c>
      <c r="X13" s="26" t="s">
        <v>129</v>
      </c>
      <c r="Y13" s="13" t="n">
        <f aca="false">ROUND(IF(K13="",0,MIN(40,40*K13/1.5))+IF(S13="",0,IF(S13&lt;=7,20,IF(S13&lt;=30,12,IF(S13&lt;=90,5,0))))+IF(Q13="",0,MIN(15,Q13*5))+IF(O13="",0,MIN(15,O13*30))+IF(E13="Criador(a)",10,IF(E13="Especialista que cria conteúdo",6,4)),0)</f>
        <v>66</v>
      </c>
      <c r="Z13" s="13"/>
      <c r="AA13" s="13"/>
      <c r="AB13" s="13"/>
      <c r="AC13" s="13" t="s">
        <v>181</v>
      </c>
      <c r="AD13" s="13" t="s">
        <v>182</v>
      </c>
      <c r="AE13" s="13" t="s">
        <v>183</v>
      </c>
      <c r="AF13" s="13" t="s">
        <v>184</v>
      </c>
      <c r="AG13" s="24" t="s">
        <v>185</v>
      </c>
      <c r="AH13" s="13" t="s">
        <v>100</v>
      </c>
      <c r="AI13" s="13"/>
    </row>
    <row r="14" customFormat="false" ht="15" hidden="false" customHeight="false" outlineLevel="0" collapsed="false">
      <c r="A14" s="13" t="s">
        <v>35</v>
      </c>
      <c r="B14" s="13" t="s">
        <v>38</v>
      </c>
      <c r="C14" s="13" t="s">
        <v>186</v>
      </c>
      <c r="D14" s="13" t="s">
        <v>187</v>
      </c>
      <c r="E14" s="13" t="s">
        <v>30</v>
      </c>
      <c r="F14" s="13" t="s">
        <v>29</v>
      </c>
      <c r="G14" s="14" t="n">
        <v>27951</v>
      </c>
      <c r="H14" s="13" t="s">
        <v>19</v>
      </c>
      <c r="I14" s="15" t="n">
        <v>0.0096</v>
      </c>
      <c r="J14" s="16" t="n">
        <f aca="false">IFERROR(INDEX('Como ler'!$B$20:$B$24,MATCH(H14,'Como ler'!$A$20:$A$24,0)),"")</f>
        <v>0.025</v>
      </c>
      <c r="K14" s="17" t="n">
        <f aca="false">IF(OR(I14="",J14=""),"",I14/J14)</f>
        <v>0.384</v>
      </c>
      <c r="L14" s="14" t="n">
        <v>200</v>
      </c>
      <c r="M14" s="18" t="n">
        <v>38.7</v>
      </c>
      <c r="N14" s="14" t="n">
        <v>2117</v>
      </c>
      <c r="O14" s="17" t="n">
        <f aca="false">IF(OR(N14="",G14=0),"",N14/G14)</f>
        <v>0.0757396873099352</v>
      </c>
      <c r="P14" s="19" t="n">
        <v>0.9</v>
      </c>
      <c r="Q14" s="20" t="n">
        <v>1.4</v>
      </c>
      <c r="R14" s="21" t="n">
        <v>46291</v>
      </c>
      <c r="S14" s="22" t="n">
        <f aca="false">IF(R14="","",'Como ler'!$B$27-R14)</f>
        <v>1</v>
      </c>
      <c r="T14" s="13" t="n">
        <v>0</v>
      </c>
      <c r="U14" s="13"/>
      <c r="V14" s="13" t="s">
        <v>54</v>
      </c>
      <c r="W14" s="13" t="s">
        <v>54</v>
      </c>
      <c r="X14" s="25" t="s">
        <v>104</v>
      </c>
      <c r="Y14" s="13" t="n">
        <f aca="false">ROUND(IF(K14="",0,MIN(40,40*K14/1.5))+IF(S14="",0,IF(S14&lt;=7,20,IF(S14&lt;=30,12,IF(S14&lt;=90,5,0))))+IF(Q14="",0,MIN(15,Q14*5))+IF(O14="",0,MIN(15,O14*30))+IF(E14="Criador(a)",10,IF(E14="Especialista que cria conteúdo",6,4)),0)</f>
        <v>50</v>
      </c>
      <c r="Z14" s="13"/>
      <c r="AA14" s="13"/>
      <c r="AB14" s="13"/>
      <c r="AC14" s="13"/>
      <c r="AD14" s="13" t="s">
        <v>188</v>
      </c>
      <c r="AE14" s="13" t="s">
        <v>189</v>
      </c>
      <c r="AF14" s="13" t="s">
        <v>190</v>
      </c>
      <c r="AG14" s="24" t="s">
        <v>191</v>
      </c>
      <c r="AH14" s="13" t="s">
        <v>100</v>
      </c>
      <c r="AI14" s="13"/>
    </row>
    <row r="15" customFormat="false" ht="15" hidden="false" customHeight="false" outlineLevel="0" collapsed="false">
      <c r="A15" s="13" t="s">
        <v>35</v>
      </c>
      <c r="B15" s="13"/>
      <c r="C15" s="13" t="s">
        <v>192</v>
      </c>
      <c r="D15" s="13" t="s">
        <v>193</v>
      </c>
      <c r="E15" s="13" t="s">
        <v>30</v>
      </c>
      <c r="F15" s="13" t="s">
        <v>29</v>
      </c>
      <c r="G15" s="14" t="n">
        <v>25575</v>
      </c>
      <c r="H15" s="13" t="s">
        <v>19</v>
      </c>
      <c r="I15" s="15" t="n">
        <v>0.0076</v>
      </c>
      <c r="J15" s="16" t="n">
        <f aca="false">IFERROR(INDEX('Como ler'!$B$20:$B$24,MATCH(H15,'Como ler'!$A$20:$A$24,0)),"")</f>
        <v>0.025</v>
      </c>
      <c r="K15" s="17" t="n">
        <f aca="false">IF(OR(I15="",J15=""),"",I15/J15)</f>
        <v>0.304</v>
      </c>
      <c r="L15" s="14" t="n">
        <v>869</v>
      </c>
      <c r="M15" s="18" t="n">
        <v>2.4</v>
      </c>
      <c r="N15" s="14" t="n">
        <v>3882</v>
      </c>
      <c r="O15" s="17" t="n">
        <f aca="false">IF(OR(N15="",G15=0),"",N15/G15)</f>
        <v>0.151788856304985</v>
      </c>
      <c r="P15" s="19" t="n">
        <v>0.92</v>
      </c>
      <c r="Q15" s="20" t="n">
        <v>4.8</v>
      </c>
      <c r="R15" s="21" t="n">
        <v>46292</v>
      </c>
      <c r="S15" s="22" t="n">
        <f aca="false">IF(R15="","",'Como ler'!$B$27-R15)</f>
        <v>0</v>
      </c>
      <c r="T15" s="13" t="n">
        <v>0</v>
      </c>
      <c r="U15" s="13"/>
      <c r="V15" s="13" t="s">
        <v>42</v>
      </c>
      <c r="W15" s="13" t="s">
        <v>194</v>
      </c>
      <c r="X15" s="26" t="s">
        <v>129</v>
      </c>
      <c r="Y15" s="13" t="n">
        <f aca="false">ROUND(IF(K15="",0,MIN(40,40*K15/1.5))+IF(S15="",0,IF(S15&lt;=7,20,IF(S15&lt;=30,12,IF(S15&lt;=90,5,0))))+IF(Q15="",0,MIN(15,Q15*5))+IF(O15="",0,MIN(15,O15*30))+IF(E15="Criador(a)",10,IF(E15="Especialista que cria conteúdo",6,4)),0)</f>
        <v>58</v>
      </c>
      <c r="Z15" s="13"/>
      <c r="AA15" s="13"/>
      <c r="AB15" s="13"/>
      <c r="AC15" s="13"/>
      <c r="AD15" s="13" t="s">
        <v>115</v>
      </c>
      <c r="AE15" s="13" t="s">
        <v>195</v>
      </c>
      <c r="AF15" s="13" t="s">
        <v>196</v>
      </c>
      <c r="AG15" s="24" t="s">
        <v>197</v>
      </c>
      <c r="AH15" s="13" t="s">
        <v>100</v>
      </c>
      <c r="AI15" s="13"/>
    </row>
    <row r="16" customFormat="false" ht="15" hidden="false" customHeight="false" outlineLevel="0" collapsed="false">
      <c r="A16" s="13" t="s">
        <v>35</v>
      </c>
      <c r="B16" s="13" t="s">
        <v>36</v>
      </c>
      <c r="C16" s="13" t="s">
        <v>198</v>
      </c>
      <c r="D16" s="13" t="s">
        <v>199</v>
      </c>
      <c r="E16" s="13" t="s">
        <v>200</v>
      </c>
      <c r="F16" s="13" t="s">
        <v>201</v>
      </c>
      <c r="G16" s="14" t="n">
        <v>20687</v>
      </c>
      <c r="H16" s="13" t="s">
        <v>19</v>
      </c>
      <c r="I16" s="15" t="n">
        <v>0.0019</v>
      </c>
      <c r="J16" s="16" t="n">
        <f aca="false">IFERROR(INDEX('Como ler'!$B$20:$B$24,MATCH(H16,'Como ler'!$A$20:$A$24,0)),"")</f>
        <v>0.025</v>
      </c>
      <c r="K16" s="17" t="n">
        <f aca="false">IF(OR(I16="",J16=""),"",I16/J16)</f>
        <v>0.076</v>
      </c>
      <c r="L16" s="14" t="n">
        <v>40</v>
      </c>
      <c r="M16" s="18" t="n">
        <v>7.8</v>
      </c>
      <c r="N16" s="14" t="n">
        <v>867</v>
      </c>
      <c r="O16" s="17" t="n">
        <f aca="false">IF(OR(N16="",G16=0),"",N16/G16)</f>
        <v>0.041910378498574</v>
      </c>
      <c r="P16" s="19" t="n">
        <v>1</v>
      </c>
      <c r="Q16" s="20" t="n">
        <v>2.4</v>
      </c>
      <c r="R16" s="21" t="n">
        <v>45935</v>
      </c>
      <c r="S16" s="22" t="n">
        <f aca="false">IF(R16="","",'Como ler'!$B$27-R16)</f>
        <v>357</v>
      </c>
      <c r="T16" s="13" t="n">
        <v>0</v>
      </c>
      <c r="U16" s="13"/>
      <c r="V16" s="13" t="s">
        <v>48</v>
      </c>
      <c r="W16" s="13" t="s">
        <v>202</v>
      </c>
      <c r="X16" s="23" t="s">
        <v>94</v>
      </c>
      <c r="Y16" s="13" t="n">
        <f aca="false">ROUND(IF(K16="",0,MIN(40,40*K16/1.5))+IF(S16="",0,IF(S16&lt;=7,20,IF(S16&lt;=30,12,IF(S16&lt;=90,5,0))))+IF(Q16="",0,MIN(15,Q16*5))+IF(O16="",0,MIN(15,O16*30))+IF(E16="Criador(a)",10,IF(E16="Especialista que cria conteúdo",6,4)),0)</f>
        <v>19</v>
      </c>
      <c r="Z16" s="13" t="s">
        <v>159</v>
      </c>
      <c r="AA16" s="13"/>
      <c r="AB16" s="13" t="s">
        <v>113</v>
      </c>
      <c r="AC16" s="13"/>
      <c r="AD16" s="13" t="s">
        <v>203</v>
      </c>
      <c r="AE16" s="13"/>
      <c r="AF16" s="13" t="s">
        <v>204</v>
      </c>
      <c r="AG16" s="24" t="s">
        <v>205</v>
      </c>
      <c r="AH16" s="13" t="s">
        <v>100</v>
      </c>
      <c r="AI16" s="13"/>
    </row>
    <row r="17" customFormat="false" ht="15" hidden="false" customHeight="false" outlineLevel="0" collapsed="false">
      <c r="A17" s="13" t="s">
        <v>35</v>
      </c>
      <c r="B17" s="13" t="s">
        <v>36</v>
      </c>
      <c r="C17" s="13" t="s">
        <v>206</v>
      </c>
      <c r="D17" s="13" t="s">
        <v>207</v>
      </c>
      <c r="E17" s="13" t="s">
        <v>30</v>
      </c>
      <c r="F17" s="13" t="s">
        <v>28</v>
      </c>
      <c r="G17" s="14" t="n">
        <v>20124</v>
      </c>
      <c r="H17" s="13" t="s">
        <v>19</v>
      </c>
      <c r="I17" s="15" t="n">
        <v>0.0049</v>
      </c>
      <c r="J17" s="16" t="n">
        <f aca="false">IFERROR(INDEX('Como ler'!$B$20:$B$24,MATCH(H17,'Como ler'!$A$20:$A$24,0)),"")</f>
        <v>0.025</v>
      </c>
      <c r="K17" s="17" t="n">
        <f aca="false">IF(OR(I17="",J17=""),"",I17/J17)</f>
        <v>0.196</v>
      </c>
      <c r="L17" s="14" t="n">
        <v>80</v>
      </c>
      <c r="M17" s="18" t="n">
        <v>32.9</v>
      </c>
      <c r="N17" s="14" t="n">
        <v>845</v>
      </c>
      <c r="O17" s="17" t="n">
        <f aca="false">IF(OR(N17="",G17=0),"",N17/G17)</f>
        <v>0.0419896640826873</v>
      </c>
      <c r="P17" s="19" t="n">
        <v>0.89</v>
      </c>
      <c r="Q17" s="20" t="n">
        <v>5.1</v>
      </c>
      <c r="R17" s="21" t="n">
        <v>46292</v>
      </c>
      <c r="S17" s="22" t="n">
        <f aca="false">IF(R17="","",'Como ler'!$B$27-R17)</f>
        <v>0</v>
      </c>
      <c r="T17" s="13" t="n">
        <v>0</v>
      </c>
      <c r="U17" s="13"/>
      <c r="V17" s="13" t="s">
        <v>45</v>
      </c>
      <c r="W17" s="13" t="s">
        <v>208</v>
      </c>
      <c r="X17" s="26" t="s">
        <v>129</v>
      </c>
      <c r="Y17" s="13" t="n">
        <f aca="false">ROUND(IF(K17="",0,MIN(40,40*K17/1.5))+IF(S17="",0,IF(S17&lt;=7,20,IF(S17&lt;=30,12,IF(S17&lt;=90,5,0))))+IF(Q17="",0,MIN(15,Q17*5))+IF(O17="",0,MIN(15,O17*30))+IF(E17="Criador(a)",10,IF(E17="Especialista que cria conteúdo",6,4)),0)</f>
        <v>51</v>
      </c>
      <c r="Z17" s="13"/>
      <c r="AA17" s="13" t="s">
        <v>113</v>
      </c>
      <c r="AB17" s="13"/>
      <c r="AC17" s="13" t="s">
        <v>181</v>
      </c>
      <c r="AD17" s="13" t="s">
        <v>209</v>
      </c>
      <c r="AE17" s="13" t="s">
        <v>210</v>
      </c>
      <c r="AF17" s="13" t="s">
        <v>211</v>
      </c>
      <c r="AG17" s="24" t="s">
        <v>212</v>
      </c>
      <c r="AH17" s="13" t="s">
        <v>100</v>
      </c>
      <c r="AI17" s="13"/>
    </row>
    <row r="18" customFormat="false" ht="15" hidden="false" customHeight="false" outlineLevel="0" collapsed="false">
      <c r="A18" s="13" t="s">
        <v>35</v>
      </c>
      <c r="B18" s="13"/>
      <c r="C18" s="13" t="s">
        <v>213</v>
      </c>
      <c r="D18" s="13" t="s">
        <v>214</v>
      </c>
      <c r="E18" s="13" t="s">
        <v>30</v>
      </c>
      <c r="F18" s="13" t="s">
        <v>28</v>
      </c>
      <c r="G18" s="14" t="n">
        <v>17162</v>
      </c>
      <c r="H18" s="13" t="s">
        <v>19</v>
      </c>
      <c r="I18" s="15" t="n">
        <v>0.0044</v>
      </c>
      <c r="J18" s="16" t="n">
        <f aca="false">IFERROR(INDEX('Como ler'!$B$20:$B$24,MATCH(H18,'Como ler'!$A$20:$A$24,0)),"")</f>
        <v>0.025</v>
      </c>
      <c r="K18" s="17" t="n">
        <f aca="false">IF(OR(I18="",J18=""),"",I18/J18)</f>
        <v>0.176</v>
      </c>
      <c r="L18" s="14" t="n">
        <v>102</v>
      </c>
      <c r="M18" s="18" t="n">
        <v>9.9</v>
      </c>
      <c r="N18" s="14" t="n">
        <v>581</v>
      </c>
      <c r="O18" s="17" t="n">
        <f aca="false">IF(OR(N18="",G18=0),"",N18/G18)</f>
        <v>0.0338538631861089</v>
      </c>
      <c r="P18" s="19" t="n">
        <v>0.67</v>
      </c>
      <c r="Q18" s="20" t="n">
        <v>1.8</v>
      </c>
      <c r="R18" s="21" t="n">
        <v>46291</v>
      </c>
      <c r="S18" s="22" t="n">
        <f aca="false">IF(R18="","",'Como ler'!$B$27-R18)</f>
        <v>1</v>
      </c>
      <c r="T18" s="13" t="n">
        <v>0</v>
      </c>
      <c r="U18" s="13"/>
      <c r="V18" s="13" t="s">
        <v>43</v>
      </c>
      <c r="W18" s="13" t="s">
        <v>215</v>
      </c>
      <c r="X18" s="23" t="s">
        <v>94</v>
      </c>
      <c r="Y18" s="13" t="n">
        <f aca="false">ROUND(IF(K18="",0,MIN(40,40*K18/1.5))+IF(S18="",0,IF(S18&lt;=7,20,IF(S18&lt;=30,12,IF(S18&lt;=90,5,0))))+IF(Q18="",0,MIN(15,Q18*5))+IF(O18="",0,MIN(15,O18*30))+IF(E18="Criador(a)",10,IF(E18="Especialista que cria conteúdo",6,4)),0)</f>
        <v>45</v>
      </c>
      <c r="Z18" s="13" t="s">
        <v>216</v>
      </c>
      <c r="AA18" s="13"/>
      <c r="AB18" s="13" t="s">
        <v>113</v>
      </c>
      <c r="AC18" s="13"/>
      <c r="AD18" s="13" t="s">
        <v>217</v>
      </c>
      <c r="AE18" s="13" t="s">
        <v>218</v>
      </c>
      <c r="AF18" s="13" t="s">
        <v>219</v>
      </c>
      <c r="AG18" s="24" t="s">
        <v>220</v>
      </c>
      <c r="AH18" s="13" t="s">
        <v>100</v>
      </c>
      <c r="AI18" s="13"/>
    </row>
    <row r="19" customFormat="false" ht="15" hidden="false" customHeight="false" outlineLevel="0" collapsed="false">
      <c r="A19" s="13" t="s">
        <v>35</v>
      </c>
      <c r="B19" s="13"/>
      <c r="C19" s="13" t="s">
        <v>221</v>
      </c>
      <c r="D19" s="13" t="s">
        <v>222</v>
      </c>
      <c r="E19" s="13" t="s">
        <v>30</v>
      </c>
      <c r="F19" s="13" t="s">
        <v>28</v>
      </c>
      <c r="G19" s="14" t="n">
        <v>16490</v>
      </c>
      <c r="H19" s="13" t="s">
        <v>19</v>
      </c>
      <c r="I19" s="15" t="n">
        <v>0.0101</v>
      </c>
      <c r="J19" s="16" t="n">
        <f aca="false">IFERROR(INDEX('Como ler'!$B$20:$B$24,MATCH(H19,'Como ler'!$A$20:$A$24,0)),"")</f>
        <v>0.025</v>
      </c>
      <c r="K19" s="17" t="n">
        <f aca="false">IF(OR(I19="",J19=""),"",I19/J19)</f>
        <v>0.404</v>
      </c>
      <c r="L19" s="14" t="n">
        <v>162</v>
      </c>
      <c r="M19" s="18" t="n">
        <v>59.8</v>
      </c>
      <c r="N19" s="14" t="n">
        <v>7430</v>
      </c>
      <c r="O19" s="17" t="n">
        <f aca="false">IF(OR(N19="",G19=0),"",N19/G19)</f>
        <v>0.450576106731352</v>
      </c>
      <c r="P19" s="19" t="n">
        <v>0.18</v>
      </c>
      <c r="Q19" s="20" t="n">
        <v>17.5</v>
      </c>
      <c r="R19" s="21" t="n">
        <v>46292</v>
      </c>
      <c r="S19" s="22" t="n">
        <f aca="false">IF(R19="","",'Como ler'!$B$27-R19)</f>
        <v>0</v>
      </c>
      <c r="T19" s="13" t="n">
        <v>0</v>
      </c>
      <c r="U19" s="13"/>
      <c r="V19" s="13" t="s">
        <v>50</v>
      </c>
      <c r="W19" s="13" t="s">
        <v>223</v>
      </c>
      <c r="X19" s="23" t="s">
        <v>94</v>
      </c>
      <c r="Y19" s="13" t="n">
        <f aca="false">ROUND(IF(K19="",0,MIN(40,40*K19/1.5))+IF(S19="",0,IF(S19&lt;=7,20,IF(S19&lt;=30,12,IF(S19&lt;=90,5,0))))+IF(Q19="",0,MIN(15,Q19*5))+IF(O19="",0,MIN(15,O19*30))+IF(E19="Criador(a)",10,IF(E19="Especialista que cria conteúdo",6,4)),0)</f>
        <v>69</v>
      </c>
      <c r="Z19" s="13" t="s">
        <v>105</v>
      </c>
      <c r="AA19" s="13" t="s">
        <v>113</v>
      </c>
      <c r="AB19" s="13" t="s">
        <v>113</v>
      </c>
      <c r="AC19" s="13"/>
      <c r="AD19" s="13" t="s">
        <v>224</v>
      </c>
      <c r="AE19" s="13" t="s">
        <v>225</v>
      </c>
      <c r="AF19" s="13" t="s">
        <v>226</v>
      </c>
      <c r="AG19" s="24" t="s">
        <v>227</v>
      </c>
      <c r="AH19" s="13" t="s">
        <v>100</v>
      </c>
      <c r="AI19" s="13"/>
    </row>
    <row r="20" customFormat="false" ht="15" hidden="false" customHeight="false" outlineLevel="0" collapsed="false">
      <c r="A20" s="13" t="s">
        <v>35</v>
      </c>
      <c r="B20" s="13"/>
      <c r="C20" s="13" t="s">
        <v>228</v>
      </c>
      <c r="D20" s="13" t="s">
        <v>229</v>
      </c>
      <c r="E20" s="13" t="s">
        <v>200</v>
      </c>
      <c r="F20" s="13" t="s">
        <v>201</v>
      </c>
      <c r="G20" s="14" t="n">
        <v>15574</v>
      </c>
      <c r="H20" s="13" t="s">
        <v>19</v>
      </c>
      <c r="I20" s="15" t="n">
        <v>0.0039</v>
      </c>
      <c r="J20" s="16" t="n">
        <f aca="false">IFERROR(INDEX('Como ler'!$B$20:$B$24,MATCH(H20,'Como ler'!$A$20:$A$24,0)),"")</f>
        <v>0.025</v>
      </c>
      <c r="K20" s="17" t="n">
        <f aca="false">IF(OR(I20="",J20=""),"",I20/J20)</f>
        <v>0.156</v>
      </c>
      <c r="L20" s="14" t="n">
        <v>68</v>
      </c>
      <c r="M20" s="18" t="n">
        <v>7.2</v>
      </c>
      <c r="N20" s="14" t="n">
        <v>228</v>
      </c>
      <c r="O20" s="17" t="n">
        <f aca="false">IF(OR(N20="",G20=0),"",N20/G20)</f>
        <v>0.014639784255811</v>
      </c>
      <c r="P20" s="19" t="n">
        <v>0.36</v>
      </c>
      <c r="Q20" s="20" t="n">
        <v>3.2</v>
      </c>
      <c r="R20" s="21" t="n">
        <v>46290</v>
      </c>
      <c r="S20" s="22" t="n">
        <f aca="false">IF(R20="","",'Como ler'!$B$27-R20)</f>
        <v>2</v>
      </c>
      <c r="T20" s="13" t="n">
        <v>0</v>
      </c>
      <c r="U20" s="13"/>
      <c r="V20" s="13" t="s">
        <v>57</v>
      </c>
      <c r="W20" s="13" t="s">
        <v>230</v>
      </c>
      <c r="X20" s="25" t="s">
        <v>104</v>
      </c>
      <c r="Y20" s="13" t="n">
        <f aca="false">ROUND(IF(K20="",0,MIN(40,40*K20/1.5))+IF(S20="",0,IF(S20&lt;=7,20,IF(S20&lt;=30,12,IF(S20&lt;=90,5,0))))+IF(Q20="",0,MIN(15,Q20*5))+IF(O20="",0,MIN(15,O20*30))+IF(E20="Criador(a)",10,IF(E20="Especialista que cria conteúdo",6,4)),0)</f>
        <v>44</v>
      </c>
      <c r="Z20" s="13" t="s">
        <v>231</v>
      </c>
      <c r="AA20" s="13"/>
      <c r="AB20" s="13" t="s">
        <v>113</v>
      </c>
      <c r="AC20" s="13"/>
      <c r="AD20" s="13" t="s">
        <v>232</v>
      </c>
      <c r="AE20" s="13" t="s">
        <v>233</v>
      </c>
      <c r="AF20" s="13" t="s">
        <v>234</v>
      </c>
      <c r="AG20" s="24" t="s">
        <v>235</v>
      </c>
      <c r="AH20" s="13" t="s">
        <v>100</v>
      </c>
      <c r="AI20" s="13" t="s">
        <v>119</v>
      </c>
    </row>
    <row r="21" customFormat="false" ht="15" hidden="false" customHeight="false" outlineLevel="0" collapsed="false">
      <c r="A21" s="13" t="s">
        <v>35</v>
      </c>
      <c r="B21" s="13" t="s">
        <v>36</v>
      </c>
      <c r="C21" s="13" t="s">
        <v>236</v>
      </c>
      <c r="D21" s="13" t="s">
        <v>237</v>
      </c>
      <c r="E21" s="13" t="s">
        <v>30</v>
      </c>
      <c r="F21" s="13" t="s">
        <v>28</v>
      </c>
      <c r="G21" s="14" t="n">
        <v>13517</v>
      </c>
      <c r="H21" s="13" t="s">
        <v>19</v>
      </c>
      <c r="I21" s="15" t="n">
        <v>0.0056</v>
      </c>
      <c r="J21" s="16" t="n">
        <f aca="false">IFERROR(INDEX('Como ler'!$B$20:$B$24,MATCH(H21,'Como ler'!$A$20:$A$24,0)),"")</f>
        <v>0.025</v>
      </c>
      <c r="K21" s="17" t="n">
        <f aca="false">IF(OR(I21="",J21=""),"",I21/J21)</f>
        <v>0.224</v>
      </c>
      <c r="L21" s="14" t="n">
        <v>591</v>
      </c>
      <c r="M21" s="18" t="n">
        <v>17.8</v>
      </c>
      <c r="N21" s="14" t="n">
        <v>621</v>
      </c>
      <c r="O21" s="17" t="n">
        <f aca="false">IF(OR(N21="",G21=0),"",N21/G21)</f>
        <v>0.0459421469260931</v>
      </c>
      <c r="P21" s="19" t="n">
        <v>0.67</v>
      </c>
      <c r="Q21" s="20" t="n">
        <v>4</v>
      </c>
      <c r="R21" s="21" t="n">
        <v>46290</v>
      </c>
      <c r="S21" s="22" t="n">
        <f aca="false">IF(R21="","",'Como ler'!$B$27-R21)</f>
        <v>2</v>
      </c>
      <c r="T21" s="13" t="n">
        <v>0</v>
      </c>
      <c r="U21" s="13"/>
      <c r="V21" s="13" t="s">
        <v>46</v>
      </c>
      <c r="W21" s="13" t="s">
        <v>238</v>
      </c>
      <c r="X21" s="23" t="s">
        <v>94</v>
      </c>
      <c r="Y21" s="13" t="n">
        <f aca="false">ROUND(IF(K21="",0,MIN(40,40*K21/1.5))+IF(S21="",0,IF(S21&lt;=7,20,IF(S21&lt;=30,12,IF(S21&lt;=90,5,0))))+IF(Q21="",0,MIN(15,Q21*5))+IF(O21="",0,MIN(15,O21*30))+IF(E21="Criador(a)",10,IF(E21="Especialista que cria conteúdo",6,4)),0)</f>
        <v>52</v>
      </c>
      <c r="Z21" s="13" t="s">
        <v>105</v>
      </c>
      <c r="AA21" s="13"/>
      <c r="AB21" s="13"/>
      <c r="AC21" s="13" t="s">
        <v>181</v>
      </c>
      <c r="AD21" s="13" t="s">
        <v>239</v>
      </c>
      <c r="AE21" s="13" t="s">
        <v>240</v>
      </c>
      <c r="AF21" s="13" t="s">
        <v>241</v>
      </c>
      <c r="AG21" s="24" t="s">
        <v>242</v>
      </c>
      <c r="AH21" s="13" t="s">
        <v>100</v>
      </c>
      <c r="AI21" s="13"/>
    </row>
    <row r="22" customFormat="false" ht="15" hidden="false" customHeight="false" outlineLevel="0" collapsed="false">
      <c r="A22" s="13" t="s">
        <v>35</v>
      </c>
      <c r="B22" s="13"/>
      <c r="C22" s="13" t="s">
        <v>243</v>
      </c>
      <c r="D22" s="13" t="s">
        <v>244</v>
      </c>
      <c r="E22" s="13" t="s">
        <v>30</v>
      </c>
      <c r="F22" s="13" t="s">
        <v>28</v>
      </c>
      <c r="G22" s="14" t="n">
        <v>12449</v>
      </c>
      <c r="H22" s="13" t="s">
        <v>19</v>
      </c>
      <c r="I22" s="15" t="n">
        <v>0.0036</v>
      </c>
      <c r="J22" s="16" t="n">
        <f aca="false">IFERROR(INDEX('Como ler'!$B$20:$B$24,MATCH(H22,'Como ler'!$A$20:$A$24,0)),"")</f>
        <v>0.025</v>
      </c>
      <c r="K22" s="17" t="n">
        <f aca="false">IF(OR(I22="",J22=""),"",I22/J22)</f>
        <v>0.144</v>
      </c>
      <c r="L22" s="14" t="n">
        <v>45</v>
      </c>
      <c r="M22" s="18" t="n">
        <v>6.3</v>
      </c>
      <c r="N22" s="14" t="n">
        <v>480</v>
      </c>
      <c r="O22" s="17" t="n">
        <f aca="false">IF(OR(N22="",G22=0),"",N22/G22)</f>
        <v>0.0385573138404691</v>
      </c>
      <c r="P22" s="19" t="n">
        <v>0.7</v>
      </c>
      <c r="Q22" s="20" t="n">
        <v>1.4</v>
      </c>
      <c r="R22" s="21" t="n">
        <v>46278</v>
      </c>
      <c r="S22" s="22" t="n">
        <f aca="false">IF(R22="","",'Como ler'!$B$27-R22)</f>
        <v>14</v>
      </c>
      <c r="T22" s="13" t="n">
        <v>0</v>
      </c>
      <c r="U22" s="13"/>
      <c r="V22" s="13" t="s">
        <v>46</v>
      </c>
      <c r="W22" s="13" t="s">
        <v>46</v>
      </c>
      <c r="X22" s="25" t="s">
        <v>104</v>
      </c>
      <c r="Y22" s="13" t="n">
        <f aca="false">ROUND(IF(K22="",0,MIN(40,40*K22/1.5))+IF(S22="",0,IF(S22&lt;=7,20,IF(S22&lt;=30,12,IF(S22&lt;=90,5,0))))+IF(Q22="",0,MIN(15,Q22*5))+IF(O22="",0,MIN(15,O22*30))+IF(E22="Criador(a)",10,IF(E22="Especialista que cria conteúdo",6,4)),0)</f>
        <v>34</v>
      </c>
      <c r="Z22" s="13"/>
      <c r="AA22" s="13"/>
      <c r="AB22" s="13" t="s">
        <v>113</v>
      </c>
      <c r="AC22" s="13"/>
      <c r="AD22" s="13" t="s">
        <v>245</v>
      </c>
      <c r="AE22" s="13" t="s">
        <v>246</v>
      </c>
      <c r="AF22" s="13" t="s">
        <v>247</v>
      </c>
      <c r="AG22" s="24" t="s">
        <v>248</v>
      </c>
      <c r="AH22" s="13" t="s">
        <v>100</v>
      </c>
      <c r="AI22" s="13"/>
    </row>
    <row r="23" customFormat="false" ht="15" hidden="false" customHeight="false" outlineLevel="0" collapsed="false">
      <c r="A23" s="13" t="s">
        <v>35</v>
      </c>
      <c r="B23" s="13"/>
      <c r="C23" s="13" t="s">
        <v>249</v>
      </c>
      <c r="D23" s="13" t="s">
        <v>250</v>
      </c>
      <c r="E23" s="13" t="s">
        <v>30</v>
      </c>
      <c r="F23" s="13" t="s">
        <v>28</v>
      </c>
      <c r="G23" s="14" t="n">
        <v>12418</v>
      </c>
      <c r="H23" s="13" t="s">
        <v>19</v>
      </c>
      <c r="I23" s="15"/>
      <c r="J23" s="16" t="n">
        <f aca="false">IFERROR(INDEX('Como ler'!$B$20:$B$24,MATCH(H23,'Como ler'!$A$20:$A$24,0)),"")</f>
        <v>0.025</v>
      </c>
      <c r="K23" s="17" t="str">
        <f aca="false">IF(OR(I23="",J23=""),"",I23/J23)</f>
        <v/>
      </c>
      <c r="L23" s="14"/>
      <c r="M23" s="18" t="n">
        <v>11</v>
      </c>
      <c r="N23" s="14" t="n">
        <v>178</v>
      </c>
      <c r="O23" s="17" t="n">
        <f aca="false">IF(OR(N23="",G23=0),"",N23/G23)</f>
        <v>0.014334031244967</v>
      </c>
      <c r="P23" s="19" t="n">
        <v>0.2</v>
      </c>
      <c r="Q23" s="20" t="n">
        <v>0.2</v>
      </c>
      <c r="R23" s="21" t="n">
        <v>46291</v>
      </c>
      <c r="S23" s="22" t="n">
        <f aca="false">IF(R23="","",'Como ler'!$B$27-R23)</f>
        <v>1</v>
      </c>
      <c r="T23" s="13" t="n">
        <v>0</v>
      </c>
      <c r="U23" s="13"/>
      <c r="V23" s="13" t="s">
        <v>43</v>
      </c>
      <c r="W23" s="13" t="s">
        <v>251</v>
      </c>
      <c r="X23" s="26" t="s">
        <v>129</v>
      </c>
      <c r="Y23" s="13" t="n">
        <f aca="false">ROUND(IF(K23="",0,MIN(40,40*K23/1.5))+IF(S23="",0,IF(S23&lt;=7,20,IF(S23&lt;=30,12,IF(S23&lt;=90,5,0))))+IF(Q23="",0,MIN(15,Q23*5))+IF(O23="",0,MIN(15,O23*30))+IF(E23="Criador(a)",10,IF(E23="Especialista que cria conteúdo",6,4)),0)</f>
        <v>31</v>
      </c>
      <c r="Z23" s="13" t="s">
        <v>105</v>
      </c>
      <c r="AA23" s="13"/>
      <c r="AB23" s="13"/>
      <c r="AC23" s="13" t="s">
        <v>181</v>
      </c>
      <c r="AD23" s="13" t="s">
        <v>131</v>
      </c>
      <c r="AE23" s="13" t="s">
        <v>252</v>
      </c>
      <c r="AF23" s="13" t="s">
        <v>253</v>
      </c>
      <c r="AG23" s="24" t="s">
        <v>254</v>
      </c>
      <c r="AH23" s="13" t="s">
        <v>100</v>
      </c>
      <c r="AI23" s="13" t="s">
        <v>119</v>
      </c>
    </row>
    <row r="24" customFormat="false" ht="15" hidden="false" customHeight="false" outlineLevel="0" collapsed="false">
      <c r="A24" s="13" t="s">
        <v>35</v>
      </c>
      <c r="B24" s="13"/>
      <c r="C24" s="13" t="s">
        <v>255</v>
      </c>
      <c r="D24" s="13"/>
      <c r="E24" s="13" t="s">
        <v>200</v>
      </c>
      <c r="F24" s="13" t="s">
        <v>201</v>
      </c>
      <c r="G24" s="14" t="n">
        <v>12104</v>
      </c>
      <c r="H24" s="13" t="s">
        <v>19</v>
      </c>
      <c r="I24" s="15" t="n">
        <v>0.0051</v>
      </c>
      <c r="J24" s="16" t="n">
        <f aca="false">IFERROR(INDEX('Como ler'!$B$20:$B$24,MATCH(H24,'Como ler'!$A$20:$A$24,0)),"")</f>
        <v>0.025</v>
      </c>
      <c r="K24" s="17" t="n">
        <f aca="false">IF(OR(I24="",J24=""),"",I24/J24)</f>
        <v>0.204</v>
      </c>
      <c r="L24" s="14" t="n">
        <v>94</v>
      </c>
      <c r="M24" s="18" t="n">
        <v>1.8</v>
      </c>
      <c r="N24" s="14" t="n">
        <v>882</v>
      </c>
      <c r="O24" s="17" t="n">
        <f aca="false">IF(OR(N24="",G24=0),"",N24/G24)</f>
        <v>0.0728684732319894</v>
      </c>
      <c r="P24" s="19" t="n">
        <v>0.67</v>
      </c>
      <c r="Q24" s="20" t="n">
        <v>7.7</v>
      </c>
      <c r="R24" s="21" t="n">
        <v>46289</v>
      </c>
      <c r="S24" s="22" t="n">
        <f aca="false">IF(R24="","",'Como ler'!$B$27-R24)</f>
        <v>3</v>
      </c>
      <c r="T24" s="13" t="n">
        <v>0</v>
      </c>
      <c r="U24" s="13"/>
      <c r="V24" s="13" t="s">
        <v>47</v>
      </c>
      <c r="W24" s="13" t="s">
        <v>47</v>
      </c>
      <c r="X24" s="25" t="s">
        <v>104</v>
      </c>
      <c r="Y24" s="13" t="n">
        <f aca="false">ROUND(IF(K24="",0,MIN(40,40*K24/1.5))+IF(S24="",0,IF(S24&lt;=7,20,IF(S24&lt;=30,12,IF(S24&lt;=90,5,0))))+IF(Q24="",0,MIN(15,Q24*5))+IF(O24="",0,MIN(15,O24*30))+IF(E24="Criador(a)",10,IF(E24="Especialista que cria conteúdo",6,4)),0)</f>
        <v>47</v>
      </c>
      <c r="Z24" s="13"/>
      <c r="AA24" s="13"/>
      <c r="AB24" s="13" t="s">
        <v>113</v>
      </c>
      <c r="AC24" s="13"/>
      <c r="AD24" s="13" t="s">
        <v>96</v>
      </c>
      <c r="AE24" s="13"/>
      <c r="AF24" s="13" t="s">
        <v>256</v>
      </c>
      <c r="AG24" s="24" t="s">
        <v>257</v>
      </c>
      <c r="AH24" s="13" t="s">
        <v>100</v>
      </c>
      <c r="AI24" s="13"/>
    </row>
    <row r="25" customFormat="false" ht="15" hidden="false" customHeight="false" outlineLevel="0" collapsed="false">
      <c r="A25" s="13" t="s">
        <v>35</v>
      </c>
      <c r="B25" s="13"/>
      <c r="C25" s="13" t="s">
        <v>258</v>
      </c>
      <c r="D25" s="13" t="s">
        <v>259</v>
      </c>
      <c r="E25" s="13" t="s">
        <v>30</v>
      </c>
      <c r="F25" s="13" t="s">
        <v>28</v>
      </c>
      <c r="G25" s="14" t="n">
        <v>11743</v>
      </c>
      <c r="H25" s="13" t="s">
        <v>19</v>
      </c>
      <c r="I25" s="15" t="n">
        <v>0.0063</v>
      </c>
      <c r="J25" s="16" t="n">
        <f aca="false">IFERROR(INDEX('Como ler'!$B$20:$B$24,MATCH(H25,'Como ler'!$A$20:$A$24,0)),"")</f>
        <v>0.025</v>
      </c>
      <c r="K25" s="17" t="n">
        <f aca="false">IF(OR(I25="",J25=""),"",I25/J25)</f>
        <v>0.252</v>
      </c>
      <c r="L25" s="14" t="n">
        <v>143</v>
      </c>
      <c r="M25" s="18" t="n">
        <v>4.8</v>
      </c>
      <c r="N25" s="14" t="n">
        <v>1539</v>
      </c>
      <c r="O25" s="17" t="n">
        <f aca="false">IF(OR(N25="",G25=0),"",N25/G25)</f>
        <v>0.131056799795623</v>
      </c>
      <c r="P25" s="19" t="n">
        <v>0.91</v>
      </c>
      <c r="Q25" s="20" t="n">
        <v>0.9</v>
      </c>
      <c r="R25" s="21" t="n">
        <v>46291</v>
      </c>
      <c r="S25" s="22" t="n">
        <f aca="false">IF(R25="","",'Como ler'!$B$27-R25)</f>
        <v>1</v>
      </c>
      <c r="T25" s="13" t="n">
        <v>0</v>
      </c>
      <c r="U25" s="13"/>
      <c r="V25" s="13"/>
      <c r="W25" s="13"/>
      <c r="X25" s="25" t="s">
        <v>104</v>
      </c>
      <c r="Y25" s="13" t="n">
        <f aca="false">ROUND(IF(K25="",0,MIN(40,40*K25/1.5))+IF(S25="",0,IF(S25&lt;=7,20,IF(S25&lt;=30,12,IF(S25&lt;=90,5,0))))+IF(Q25="",0,MIN(15,Q25*5))+IF(O25="",0,MIN(15,O25*30))+IF(E25="Criador(a)",10,IF(E25="Especialista que cria conteúdo",6,4)),0)</f>
        <v>45</v>
      </c>
      <c r="Z25" s="13"/>
      <c r="AA25" s="13"/>
      <c r="AB25" s="13"/>
      <c r="AC25" s="13"/>
      <c r="AD25" s="13" t="s">
        <v>260</v>
      </c>
      <c r="AE25" s="13" t="s">
        <v>261</v>
      </c>
      <c r="AF25" s="13" t="s">
        <v>262</v>
      </c>
      <c r="AG25" s="24" t="s">
        <v>263</v>
      </c>
      <c r="AH25" s="13" t="s">
        <v>100</v>
      </c>
      <c r="AI25" s="13"/>
    </row>
    <row r="26" customFormat="false" ht="15" hidden="false" customHeight="false" outlineLevel="0" collapsed="false">
      <c r="A26" s="13" t="s">
        <v>35</v>
      </c>
      <c r="B26" s="13"/>
      <c r="C26" s="13" t="s">
        <v>264</v>
      </c>
      <c r="D26" s="13" t="s">
        <v>265</v>
      </c>
      <c r="E26" s="13" t="s">
        <v>157</v>
      </c>
      <c r="F26" s="13" t="s">
        <v>201</v>
      </c>
      <c r="G26" s="14" t="n">
        <v>10806</v>
      </c>
      <c r="H26" s="13" t="s">
        <v>19</v>
      </c>
      <c r="I26" s="15" t="n">
        <v>0.0038</v>
      </c>
      <c r="J26" s="16" t="n">
        <f aca="false">IFERROR(INDEX('Como ler'!$B$20:$B$24,MATCH(H26,'Como ler'!$A$20:$A$24,0)),"")</f>
        <v>0.025</v>
      </c>
      <c r="K26" s="17" t="n">
        <f aca="false">IF(OR(I26="",J26=""),"",I26/J26)</f>
        <v>0.152</v>
      </c>
      <c r="L26" s="14" t="n">
        <v>50</v>
      </c>
      <c r="M26" s="18" t="n">
        <v>4.8</v>
      </c>
      <c r="N26" s="14" t="n">
        <v>376</v>
      </c>
      <c r="O26" s="17" t="n">
        <f aca="false">IF(OR(N26="",G26=0),"",N26/G26)</f>
        <v>0.0347954839903757</v>
      </c>
      <c r="P26" s="19" t="n">
        <v>0.78</v>
      </c>
      <c r="Q26" s="20" t="n">
        <v>2.7</v>
      </c>
      <c r="R26" s="21" t="n">
        <v>46245</v>
      </c>
      <c r="S26" s="22" t="n">
        <f aca="false">IF(R26="","",'Como ler'!$B$27-R26)</f>
        <v>47</v>
      </c>
      <c r="T26" s="13" t="n">
        <v>0</v>
      </c>
      <c r="U26" s="13"/>
      <c r="V26" s="13" t="s">
        <v>50</v>
      </c>
      <c r="W26" s="13" t="s">
        <v>266</v>
      </c>
      <c r="X26" s="23" t="s">
        <v>94</v>
      </c>
      <c r="Y26" s="13" t="n">
        <f aca="false">ROUND(IF(K26="",0,MIN(40,40*K26/1.5))+IF(S26="",0,IF(S26&lt;=7,20,IF(S26&lt;=30,12,IF(S26&lt;=90,5,0))))+IF(Q26="",0,MIN(15,Q26*5))+IF(O26="",0,MIN(15,O26*30))+IF(E26="Criador(a)",10,IF(E26="Especialista que cria conteúdo",6,4)),0)</f>
        <v>30</v>
      </c>
      <c r="Z26" s="13"/>
      <c r="AA26" s="13" t="s">
        <v>113</v>
      </c>
      <c r="AB26" s="13" t="s">
        <v>113</v>
      </c>
      <c r="AC26" s="13"/>
      <c r="AD26" s="13" t="s">
        <v>96</v>
      </c>
      <c r="AE26" s="13"/>
      <c r="AF26" s="13" t="s">
        <v>267</v>
      </c>
      <c r="AG26" s="24" t="s">
        <v>268</v>
      </c>
      <c r="AH26" s="13" t="s">
        <v>100</v>
      </c>
      <c r="AI26" s="13"/>
    </row>
    <row r="27" customFormat="false" ht="15" hidden="false" customHeight="false" outlineLevel="0" collapsed="false">
      <c r="A27" s="13" t="s">
        <v>35</v>
      </c>
      <c r="B27" s="13"/>
      <c r="C27" s="13" t="s">
        <v>269</v>
      </c>
      <c r="D27" s="13" t="s">
        <v>270</v>
      </c>
      <c r="E27" s="13" t="s">
        <v>30</v>
      </c>
      <c r="F27" s="13" t="s">
        <v>28</v>
      </c>
      <c r="G27" s="14" t="n">
        <v>10620</v>
      </c>
      <c r="H27" s="13" t="s">
        <v>19</v>
      </c>
      <c r="I27" s="15" t="n">
        <v>0.0017</v>
      </c>
      <c r="J27" s="16" t="n">
        <f aca="false">IFERROR(INDEX('Como ler'!$B$20:$B$24,MATCH(H27,'Como ler'!$A$20:$A$24,0)),"")</f>
        <v>0.025</v>
      </c>
      <c r="K27" s="17" t="n">
        <f aca="false">IF(OR(I27="",J27=""),"",I27/J27)</f>
        <v>0.068</v>
      </c>
      <c r="L27" s="14" t="n">
        <v>23</v>
      </c>
      <c r="M27" s="18" t="n">
        <v>2.5</v>
      </c>
      <c r="N27" s="14" t="n">
        <v>414</v>
      </c>
      <c r="O27" s="17" t="n">
        <f aca="false">IF(OR(N27="",G27=0),"",N27/G27)</f>
        <v>0.0389830508474576</v>
      </c>
      <c r="P27" s="19" t="n">
        <v>1</v>
      </c>
      <c r="Q27" s="20" t="n">
        <v>3.5</v>
      </c>
      <c r="R27" s="21" t="n">
        <v>46292</v>
      </c>
      <c r="S27" s="22" t="n">
        <f aca="false">IF(R27="","",'Como ler'!$B$27-R27)</f>
        <v>0</v>
      </c>
      <c r="T27" s="13" t="n">
        <v>0</v>
      </c>
      <c r="U27" s="13"/>
      <c r="V27" s="13" t="s">
        <v>52</v>
      </c>
      <c r="W27" s="13" t="s">
        <v>271</v>
      </c>
      <c r="X27" s="23" t="s">
        <v>94</v>
      </c>
      <c r="Y27" s="13" t="n">
        <f aca="false">ROUND(IF(K27="",0,MIN(40,40*K27/1.5))+IF(S27="",0,IF(S27&lt;=7,20,IF(S27&lt;=30,12,IF(S27&lt;=90,5,0))))+IF(Q27="",0,MIN(15,Q27*5))+IF(O27="",0,MIN(15,O27*30))+IF(E27="Criador(a)",10,IF(E27="Especialista que cria conteúdo",6,4)),0)</f>
        <v>48</v>
      </c>
      <c r="Z27" s="13" t="s">
        <v>105</v>
      </c>
      <c r="AA27" s="13"/>
      <c r="AB27" s="13" t="s">
        <v>113</v>
      </c>
      <c r="AC27" s="13"/>
      <c r="AD27" s="13" t="s">
        <v>272</v>
      </c>
      <c r="AE27" s="13" t="s">
        <v>273</v>
      </c>
      <c r="AF27" s="13" t="s">
        <v>274</v>
      </c>
      <c r="AG27" s="24" t="s">
        <v>275</v>
      </c>
      <c r="AH27" s="13" t="s">
        <v>100</v>
      </c>
      <c r="AI27" s="13"/>
    </row>
    <row r="28" customFormat="false" ht="15" hidden="false" customHeight="false" outlineLevel="0" collapsed="false">
      <c r="A28" s="13" t="s">
        <v>35</v>
      </c>
      <c r="B28" s="13"/>
      <c r="C28" s="13" t="s">
        <v>276</v>
      </c>
      <c r="D28" s="13" t="s">
        <v>277</v>
      </c>
      <c r="E28" s="13" t="s">
        <v>157</v>
      </c>
      <c r="F28" s="13" t="s">
        <v>28</v>
      </c>
      <c r="G28" s="14" t="n">
        <v>10401</v>
      </c>
      <c r="H28" s="13" t="s">
        <v>19</v>
      </c>
      <c r="I28" s="15" t="n">
        <v>0.0358</v>
      </c>
      <c r="J28" s="16" t="n">
        <f aca="false">IFERROR(INDEX('Como ler'!$B$20:$B$24,MATCH(H28,'Como ler'!$A$20:$A$24,0)),"")</f>
        <v>0.025</v>
      </c>
      <c r="K28" s="17" t="n">
        <f aca="false">IF(OR(I28="",J28=""),"",I28/J28)</f>
        <v>1.432</v>
      </c>
      <c r="L28" s="14" t="n">
        <v>994</v>
      </c>
      <c r="M28" s="18" t="n">
        <v>47.2</v>
      </c>
      <c r="N28" s="14" t="n">
        <v>4044</v>
      </c>
      <c r="O28" s="17" t="n">
        <f aca="false">IF(OR(N28="",G28=0),"",N28/G28)</f>
        <v>0.388808768387655</v>
      </c>
      <c r="P28" s="19" t="n">
        <v>0.64</v>
      </c>
      <c r="Q28" s="20" t="n">
        <v>1.3</v>
      </c>
      <c r="R28" s="21" t="n">
        <v>46289</v>
      </c>
      <c r="S28" s="22" t="n">
        <f aca="false">IF(R28="","",'Como ler'!$B$27-R28)</f>
        <v>3</v>
      </c>
      <c r="T28" s="13" t="n">
        <v>0</v>
      </c>
      <c r="U28" s="13"/>
      <c r="V28" s="13" t="s">
        <v>56</v>
      </c>
      <c r="W28" s="13" t="s">
        <v>56</v>
      </c>
      <c r="X28" s="23" t="s">
        <v>94</v>
      </c>
      <c r="Y28" s="13" t="n">
        <f aca="false">ROUND(IF(K28="",0,MIN(40,40*K28/1.5))+IF(S28="",0,IF(S28&lt;=7,20,IF(S28&lt;=30,12,IF(S28&lt;=90,5,0))))+IF(Q28="",0,MIN(15,Q28*5))+IF(O28="",0,MIN(15,O28*30))+IF(E28="Criador(a)",10,IF(E28="Especialista que cria conteúdo",6,4)),0)</f>
        <v>82</v>
      </c>
      <c r="Z28" s="13"/>
      <c r="AA28" s="13"/>
      <c r="AB28" s="13" t="s">
        <v>113</v>
      </c>
      <c r="AC28" s="13"/>
      <c r="AD28" s="13" t="s">
        <v>96</v>
      </c>
      <c r="AE28" s="13" t="s">
        <v>278</v>
      </c>
      <c r="AF28" s="13" t="s">
        <v>279</v>
      </c>
      <c r="AG28" s="24" t="s">
        <v>280</v>
      </c>
      <c r="AH28" s="13" t="s">
        <v>100</v>
      </c>
      <c r="AI28" s="13"/>
    </row>
    <row r="29" customFormat="false" ht="15" hidden="false" customHeight="false" outlineLevel="0" collapsed="false">
      <c r="A29" s="13" t="s">
        <v>35</v>
      </c>
      <c r="B29" s="13"/>
      <c r="C29" s="13" t="s">
        <v>281</v>
      </c>
      <c r="D29" s="13" t="s">
        <v>282</v>
      </c>
      <c r="E29" s="13" t="s">
        <v>30</v>
      </c>
      <c r="F29" s="13" t="s">
        <v>28</v>
      </c>
      <c r="G29" s="14" t="n">
        <v>10330</v>
      </c>
      <c r="H29" s="13" t="s">
        <v>19</v>
      </c>
      <c r="I29" s="15" t="n">
        <v>0.0251</v>
      </c>
      <c r="J29" s="16" t="n">
        <f aca="false">IFERROR(INDEX('Como ler'!$B$20:$B$24,MATCH(H29,'Como ler'!$A$20:$A$24,0)),"")</f>
        <v>0.025</v>
      </c>
      <c r="K29" s="17" t="n">
        <f aca="false">IF(OR(I29="",J29=""),"",I29/J29)</f>
        <v>1.004</v>
      </c>
      <c r="L29" s="14" t="n">
        <v>301</v>
      </c>
      <c r="M29" s="18" t="n">
        <v>9.9</v>
      </c>
      <c r="N29" s="14" t="n">
        <v>2782</v>
      </c>
      <c r="O29" s="17" t="n">
        <f aca="false">IF(OR(N29="",G29=0),"",N29/G29)</f>
        <v>0.269312681510165</v>
      </c>
      <c r="P29" s="19" t="n">
        <v>0.43</v>
      </c>
      <c r="Q29" s="20" t="n">
        <v>0</v>
      </c>
      <c r="R29" s="21" t="n">
        <v>46267</v>
      </c>
      <c r="S29" s="22" t="n">
        <f aca="false">IF(R29="","",'Como ler'!$B$27-R29)</f>
        <v>25</v>
      </c>
      <c r="T29" s="13" t="n">
        <v>0</v>
      </c>
      <c r="U29" s="13"/>
      <c r="V29" s="13" t="s">
        <v>41</v>
      </c>
      <c r="W29" s="13" t="s">
        <v>283</v>
      </c>
      <c r="X29" s="23" t="s">
        <v>94</v>
      </c>
      <c r="Y29" s="13" t="n">
        <f aca="false">ROUND(IF(K29="",0,MIN(40,40*K29/1.5))+IF(S29="",0,IF(S29&lt;=7,20,IF(S29&lt;=30,12,IF(S29&lt;=90,5,0))))+IF(Q29="",0,MIN(15,Q29*5))+IF(O29="",0,MIN(15,O29*30))+IF(E29="Criador(a)",10,IF(E29="Especialista que cria conteúdo",6,4)),0)</f>
        <v>57</v>
      </c>
      <c r="Z29" s="13" t="s">
        <v>105</v>
      </c>
      <c r="AA29" s="13"/>
      <c r="AB29" s="13" t="s">
        <v>113</v>
      </c>
      <c r="AC29" s="13"/>
      <c r="AD29" s="13" t="s">
        <v>96</v>
      </c>
      <c r="AE29" s="13" t="s">
        <v>284</v>
      </c>
      <c r="AF29" s="13" t="s">
        <v>285</v>
      </c>
      <c r="AG29" s="24" t="s">
        <v>286</v>
      </c>
      <c r="AH29" s="13" t="s">
        <v>100</v>
      </c>
      <c r="AI29" s="13"/>
    </row>
    <row r="30" customFormat="false" ht="15" hidden="false" customHeight="false" outlineLevel="0" collapsed="false">
      <c r="A30" s="13" t="s">
        <v>35</v>
      </c>
      <c r="B30" s="13"/>
      <c r="C30" s="13" t="s">
        <v>287</v>
      </c>
      <c r="D30" s="13" t="s">
        <v>288</v>
      </c>
      <c r="E30" s="13" t="s">
        <v>30</v>
      </c>
      <c r="F30" s="13" t="s">
        <v>28</v>
      </c>
      <c r="G30" s="14" t="n">
        <v>9953</v>
      </c>
      <c r="H30" s="13" t="s">
        <v>19</v>
      </c>
      <c r="I30" s="15" t="n">
        <v>0.0202</v>
      </c>
      <c r="J30" s="16" t="n">
        <f aca="false">IFERROR(INDEX('Como ler'!$B$20:$B$24,MATCH(H30,'Como ler'!$A$20:$A$24,0)),"")</f>
        <v>0.025</v>
      </c>
      <c r="K30" s="17" t="n">
        <f aca="false">IF(OR(I30="",J30=""),"",I30/J30)</f>
        <v>0.808</v>
      </c>
      <c r="L30" s="14" t="n">
        <v>255</v>
      </c>
      <c r="M30" s="18" t="n">
        <v>16.5</v>
      </c>
      <c r="N30" s="14"/>
      <c r="O30" s="17" t="str">
        <f aca="false">IF(OR(N30="",G30=0),"",N30/G30)</f>
        <v/>
      </c>
      <c r="P30" s="19" t="n">
        <v>0</v>
      </c>
      <c r="Q30" s="20" t="n">
        <v>0.3</v>
      </c>
      <c r="R30" s="21" t="n">
        <v>46258</v>
      </c>
      <c r="S30" s="22" t="n">
        <f aca="false">IF(R30="","",'Como ler'!$B$27-R30)</f>
        <v>34</v>
      </c>
      <c r="T30" s="13" t="n">
        <v>0</v>
      </c>
      <c r="U30" s="13"/>
      <c r="V30" s="13" t="s">
        <v>44</v>
      </c>
      <c r="W30" s="13" t="s">
        <v>44</v>
      </c>
      <c r="X30" s="26" t="s">
        <v>129</v>
      </c>
      <c r="Y30" s="13" t="n">
        <f aca="false">ROUND(IF(K30="",0,MIN(40,40*K30/1.5))+IF(S30="",0,IF(S30&lt;=7,20,IF(S30&lt;=30,12,IF(S30&lt;=90,5,0))))+IF(Q30="",0,MIN(15,Q30*5))+IF(O30="",0,MIN(15,O30*30))+IF(E30="Criador(a)",10,IF(E30="Especialista que cria conteúdo",6,4)),0)</f>
        <v>38</v>
      </c>
      <c r="Z30" s="13" t="s">
        <v>289</v>
      </c>
      <c r="AA30" s="13"/>
      <c r="AB30" s="13"/>
      <c r="AC30" s="13"/>
      <c r="AD30" s="13" t="s">
        <v>290</v>
      </c>
      <c r="AE30" s="13" t="s">
        <v>291</v>
      </c>
      <c r="AF30" s="13" t="s">
        <v>292</v>
      </c>
      <c r="AG30" s="24" t="s">
        <v>293</v>
      </c>
      <c r="AH30" s="13" t="s">
        <v>100</v>
      </c>
      <c r="AI30" s="13"/>
    </row>
    <row r="31" customFormat="false" ht="15" hidden="false" customHeight="false" outlineLevel="0" collapsed="false">
      <c r="A31" s="13" t="s">
        <v>35</v>
      </c>
      <c r="B31" s="13"/>
      <c r="C31" s="13" t="s">
        <v>294</v>
      </c>
      <c r="D31" s="13" t="s">
        <v>295</v>
      </c>
      <c r="E31" s="13" t="s">
        <v>30</v>
      </c>
      <c r="F31" s="13" t="s">
        <v>28</v>
      </c>
      <c r="G31" s="14" t="n">
        <v>9612</v>
      </c>
      <c r="H31" s="13" t="s">
        <v>19</v>
      </c>
      <c r="I31" s="15" t="n">
        <v>0.0031</v>
      </c>
      <c r="J31" s="16" t="n">
        <f aca="false">IFERROR(INDEX('Como ler'!$B$20:$B$24,MATCH(H31,'Como ler'!$A$20:$A$24,0)),"")</f>
        <v>0.025</v>
      </c>
      <c r="K31" s="17" t="n">
        <f aca="false">IF(OR(I31="",J31=""),"",I31/J31)</f>
        <v>0.124</v>
      </c>
      <c r="L31" s="14" t="n">
        <v>28</v>
      </c>
      <c r="M31" s="18" t="n">
        <v>3.7</v>
      </c>
      <c r="N31" s="14" t="n">
        <v>336</v>
      </c>
      <c r="O31" s="17" t="n">
        <f aca="false">IF(OR(N31="",G31=0),"",N31/G31)</f>
        <v>0.034956304619226</v>
      </c>
      <c r="P31" s="19" t="n">
        <v>0.5</v>
      </c>
      <c r="Q31" s="20" t="n">
        <v>0.2</v>
      </c>
      <c r="R31" s="21" t="n">
        <v>46263</v>
      </c>
      <c r="S31" s="22" t="n">
        <f aca="false">IF(R31="","",'Como ler'!$B$27-R31)</f>
        <v>29</v>
      </c>
      <c r="T31" s="13" t="n">
        <v>0</v>
      </c>
      <c r="U31" s="13"/>
      <c r="V31" s="13" t="s">
        <v>53</v>
      </c>
      <c r="W31" s="13" t="s">
        <v>53</v>
      </c>
      <c r="X31" s="26" t="s">
        <v>129</v>
      </c>
      <c r="Y31" s="13" t="n">
        <f aca="false">ROUND(IF(K31="",0,MIN(40,40*K31/1.5))+IF(S31="",0,IF(S31&lt;=7,20,IF(S31&lt;=30,12,IF(S31&lt;=90,5,0))))+IF(Q31="",0,MIN(15,Q31*5))+IF(O31="",0,MIN(15,O31*30))+IF(E31="Criador(a)",10,IF(E31="Especialista que cria conteúdo",6,4)),0)</f>
        <v>27</v>
      </c>
      <c r="Z31" s="13"/>
      <c r="AA31" s="13"/>
      <c r="AB31" s="13"/>
      <c r="AC31" s="13"/>
      <c r="AD31" s="13" t="s">
        <v>296</v>
      </c>
      <c r="AE31" s="13" t="s">
        <v>297</v>
      </c>
      <c r="AF31" s="13" t="s">
        <v>298</v>
      </c>
      <c r="AG31" s="24" t="s">
        <v>299</v>
      </c>
      <c r="AH31" s="13" t="s">
        <v>100</v>
      </c>
      <c r="AI31" s="13"/>
    </row>
    <row r="32" customFormat="false" ht="15" hidden="false" customHeight="false" outlineLevel="0" collapsed="false">
      <c r="A32" s="13" t="s">
        <v>35</v>
      </c>
      <c r="B32" s="13"/>
      <c r="C32" s="13" t="s">
        <v>300</v>
      </c>
      <c r="D32" s="13" t="s">
        <v>301</v>
      </c>
      <c r="E32" s="13" t="s">
        <v>30</v>
      </c>
      <c r="F32" s="13" t="s">
        <v>28</v>
      </c>
      <c r="G32" s="14" t="n">
        <v>9577</v>
      </c>
      <c r="H32" s="13" t="s">
        <v>19</v>
      </c>
      <c r="I32" s="15" t="n">
        <v>0.0242</v>
      </c>
      <c r="J32" s="16" t="n">
        <f aca="false">IFERROR(INDEX('Como ler'!$B$20:$B$24,MATCH(H32,'Como ler'!$A$20:$A$24,0)),"")</f>
        <v>0.025</v>
      </c>
      <c r="K32" s="17" t="n">
        <f aca="false">IF(OR(I32="",J32=""),"",I32/J32)</f>
        <v>0.968</v>
      </c>
      <c r="L32" s="14" t="n">
        <v>258</v>
      </c>
      <c r="M32" s="18" t="n">
        <v>14.4</v>
      </c>
      <c r="N32" s="14"/>
      <c r="O32" s="17" t="str">
        <f aca="false">IF(OR(N32="",G32=0),"",N32/G32)</f>
        <v/>
      </c>
      <c r="P32" s="19" t="n">
        <v>0</v>
      </c>
      <c r="Q32" s="20" t="n">
        <v>0.1</v>
      </c>
      <c r="R32" s="21" t="n">
        <v>46253</v>
      </c>
      <c r="S32" s="22" t="n">
        <f aca="false">IF(R32="","",'Como ler'!$B$27-R32)</f>
        <v>39</v>
      </c>
      <c r="T32" s="13" t="n">
        <v>0</v>
      </c>
      <c r="U32" s="13"/>
      <c r="V32" s="13" t="s">
        <v>41</v>
      </c>
      <c r="W32" s="13" t="s">
        <v>302</v>
      </c>
      <c r="X32" s="23" t="s">
        <v>94</v>
      </c>
      <c r="Y32" s="13" t="n">
        <f aca="false">ROUND(IF(K32="",0,MIN(40,40*K32/1.5))+IF(S32="",0,IF(S32&lt;=7,20,IF(S32&lt;=30,12,IF(S32&lt;=90,5,0))))+IF(Q32="",0,MIN(15,Q32*5))+IF(O32="",0,MIN(15,O32*30))+IF(E32="Criador(a)",10,IF(E32="Especialista que cria conteúdo",6,4)),0)</f>
        <v>41</v>
      </c>
      <c r="Z32" s="13" t="s">
        <v>303</v>
      </c>
      <c r="AA32" s="13"/>
      <c r="AB32" s="13"/>
      <c r="AC32" s="13"/>
      <c r="AD32" s="13" t="s">
        <v>115</v>
      </c>
      <c r="AE32" s="13" t="s">
        <v>304</v>
      </c>
      <c r="AF32" s="13" t="s">
        <v>305</v>
      </c>
      <c r="AG32" s="24" t="s">
        <v>306</v>
      </c>
      <c r="AH32" s="13" t="s">
        <v>100</v>
      </c>
      <c r="AI32" s="13"/>
    </row>
    <row r="33" customFormat="false" ht="15" hidden="false" customHeight="false" outlineLevel="0" collapsed="false">
      <c r="A33" s="13" t="s">
        <v>35</v>
      </c>
      <c r="B33" s="13" t="s">
        <v>36</v>
      </c>
      <c r="C33" s="13" t="s">
        <v>307</v>
      </c>
      <c r="D33" s="13" t="s">
        <v>308</v>
      </c>
      <c r="E33" s="13" t="s">
        <v>200</v>
      </c>
      <c r="F33" s="13" t="s">
        <v>201</v>
      </c>
      <c r="G33" s="14" t="n">
        <v>7887</v>
      </c>
      <c r="H33" s="13" t="s">
        <v>19</v>
      </c>
      <c r="I33" s="15" t="n">
        <v>0.0075</v>
      </c>
      <c r="J33" s="16" t="n">
        <f aca="false">IFERROR(INDEX('Como ler'!$B$20:$B$24,MATCH(H33,'Como ler'!$A$20:$A$24,0)),"")</f>
        <v>0.025</v>
      </c>
      <c r="K33" s="17" t="n">
        <f aca="false">IF(OR(I33="",J33=""),"",I33/J33)</f>
        <v>0.3</v>
      </c>
      <c r="L33" s="14" t="n">
        <v>70</v>
      </c>
      <c r="M33" s="18" t="n">
        <v>5.8</v>
      </c>
      <c r="N33" s="14" t="n">
        <v>102</v>
      </c>
      <c r="O33" s="17" t="n">
        <f aca="false">IF(OR(N33="",G33=0),"",N33/G33)</f>
        <v>0.0129326740205401</v>
      </c>
      <c r="P33" s="19" t="n">
        <v>0.58</v>
      </c>
      <c r="Q33" s="20" t="n">
        <v>1.1</v>
      </c>
      <c r="R33" s="21" t="n">
        <v>46235</v>
      </c>
      <c r="S33" s="22" t="n">
        <f aca="false">IF(R33="","",'Como ler'!$B$27-R33)</f>
        <v>57</v>
      </c>
      <c r="T33" s="13" t="n">
        <v>0</v>
      </c>
      <c r="U33" s="13"/>
      <c r="V33" s="13" t="s">
        <v>44</v>
      </c>
      <c r="W33" s="13" t="s">
        <v>309</v>
      </c>
      <c r="X33" s="25" t="s">
        <v>104</v>
      </c>
      <c r="Y33" s="13" t="n">
        <f aca="false">ROUND(IF(K33="",0,MIN(40,40*K33/1.5))+IF(S33="",0,IF(S33&lt;=7,20,IF(S33&lt;=30,12,IF(S33&lt;=90,5,0))))+IF(Q33="",0,MIN(15,Q33*5))+IF(O33="",0,MIN(15,O33*30))+IF(E33="Criador(a)",10,IF(E33="Especialista que cria conteúdo",6,4)),0)</f>
        <v>23</v>
      </c>
      <c r="Z33" s="13" t="s">
        <v>105</v>
      </c>
      <c r="AA33" s="13"/>
      <c r="AB33" s="13"/>
      <c r="AC33" s="13"/>
      <c r="AD33" s="13" t="s">
        <v>310</v>
      </c>
      <c r="AE33" s="13" t="s">
        <v>311</v>
      </c>
      <c r="AF33" s="13" t="s">
        <v>312</v>
      </c>
      <c r="AG33" s="24" t="s">
        <v>313</v>
      </c>
      <c r="AH33" s="13" t="s">
        <v>100</v>
      </c>
      <c r="AI33" s="13"/>
    </row>
    <row r="34" customFormat="false" ht="15" hidden="false" customHeight="false" outlineLevel="0" collapsed="false">
      <c r="A34" s="13" t="s">
        <v>35</v>
      </c>
      <c r="B34" s="13"/>
      <c r="C34" s="13" t="s">
        <v>314</v>
      </c>
      <c r="D34" s="13" t="s">
        <v>315</v>
      </c>
      <c r="E34" s="13" t="s">
        <v>30</v>
      </c>
      <c r="F34" s="13" t="s">
        <v>28</v>
      </c>
      <c r="G34" s="14" t="n">
        <v>7430</v>
      </c>
      <c r="H34" s="13" t="s">
        <v>19</v>
      </c>
      <c r="I34" s="15" t="n">
        <v>0.0106</v>
      </c>
      <c r="J34" s="16" t="n">
        <f aca="false">IFERROR(INDEX('Como ler'!$B$20:$B$24,MATCH(H34,'Como ler'!$A$20:$A$24,0)),"")</f>
        <v>0.025</v>
      </c>
      <c r="K34" s="17" t="n">
        <f aca="false">IF(OR(I34="",J34=""),"",I34/J34)</f>
        <v>0.424</v>
      </c>
      <c r="L34" s="14" t="n">
        <v>82</v>
      </c>
      <c r="M34" s="18" t="n">
        <v>13.2</v>
      </c>
      <c r="N34" s="14" t="n">
        <v>653</v>
      </c>
      <c r="O34" s="17" t="n">
        <f aca="false">IF(OR(N34="",G34=0),"",N34/G34)</f>
        <v>0.0878869448183042</v>
      </c>
      <c r="P34" s="19" t="n">
        <v>0.75</v>
      </c>
      <c r="Q34" s="20" t="n">
        <v>0.3</v>
      </c>
      <c r="R34" s="21" t="n">
        <v>46292</v>
      </c>
      <c r="S34" s="22" t="n">
        <f aca="false">IF(R34="","",'Como ler'!$B$27-R34)</f>
        <v>0</v>
      </c>
      <c r="T34" s="13" t="n">
        <v>0</v>
      </c>
      <c r="U34" s="13"/>
      <c r="V34" s="13" t="s">
        <v>53</v>
      </c>
      <c r="W34" s="13" t="s">
        <v>316</v>
      </c>
      <c r="X34" s="23" t="s">
        <v>94</v>
      </c>
      <c r="Y34" s="13" t="n">
        <f aca="false">ROUND(IF(K34="",0,MIN(40,40*K34/1.5))+IF(S34="",0,IF(S34&lt;=7,20,IF(S34&lt;=30,12,IF(S34&lt;=90,5,0))))+IF(Q34="",0,MIN(15,Q34*5))+IF(O34="",0,MIN(15,O34*30))+IF(E34="Criador(a)",10,IF(E34="Especialista que cria conteúdo",6,4)),0)</f>
        <v>45</v>
      </c>
      <c r="Z34" s="13"/>
      <c r="AA34" s="13"/>
      <c r="AB34" s="13"/>
      <c r="AC34" s="13"/>
      <c r="AD34" s="13" t="s">
        <v>122</v>
      </c>
      <c r="AE34" s="13" t="s">
        <v>317</v>
      </c>
      <c r="AF34" s="13" t="s">
        <v>318</v>
      </c>
      <c r="AG34" s="24" t="s">
        <v>319</v>
      </c>
      <c r="AH34" s="13" t="s">
        <v>100</v>
      </c>
      <c r="AI34" s="13"/>
    </row>
    <row r="35" customFormat="false" ht="15" hidden="false" customHeight="false" outlineLevel="0" collapsed="false">
      <c r="A35" s="13" t="s">
        <v>35</v>
      </c>
      <c r="B35" s="13"/>
      <c r="C35" s="13" t="s">
        <v>320</v>
      </c>
      <c r="D35" s="13" t="s">
        <v>321</v>
      </c>
      <c r="E35" s="13" t="s">
        <v>157</v>
      </c>
      <c r="F35" s="13" t="s">
        <v>28</v>
      </c>
      <c r="G35" s="14" t="n">
        <v>7365</v>
      </c>
      <c r="H35" s="13" t="s">
        <v>19</v>
      </c>
      <c r="I35" s="15" t="n">
        <v>0.0036</v>
      </c>
      <c r="J35" s="16" t="n">
        <f aca="false">IFERROR(INDEX('Como ler'!$B$20:$B$24,MATCH(H35,'Como ler'!$A$20:$A$24,0)),"")</f>
        <v>0.025</v>
      </c>
      <c r="K35" s="17" t="n">
        <f aca="false">IF(OR(I35="",J35=""),"",I35/J35)</f>
        <v>0.144</v>
      </c>
      <c r="L35" s="14" t="n">
        <v>41</v>
      </c>
      <c r="M35" s="18" t="n">
        <v>4.9</v>
      </c>
      <c r="N35" s="14" t="n">
        <v>228</v>
      </c>
      <c r="O35" s="17" t="n">
        <f aca="false">IF(OR(N35="",G35=0),"",N35/G35)</f>
        <v>0.0309572301425662</v>
      </c>
      <c r="P35" s="19" t="n">
        <v>1</v>
      </c>
      <c r="Q35" s="20" t="n">
        <v>0.4</v>
      </c>
      <c r="R35" s="21" t="n">
        <v>46099</v>
      </c>
      <c r="S35" s="22" t="n">
        <f aca="false">IF(R35="","",'Como ler'!$B$27-R35)</f>
        <v>193</v>
      </c>
      <c r="T35" s="13" t="n">
        <v>5</v>
      </c>
      <c r="U35" s="13" t="s">
        <v>322</v>
      </c>
      <c r="V35" s="13" t="s">
        <v>56</v>
      </c>
      <c r="W35" s="13" t="s">
        <v>323</v>
      </c>
      <c r="X35" s="23" t="s">
        <v>94</v>
      </c>
      <c r="Y35" s="13" t="n">
        <f aca="false">ROUND(IF(K35="",0,MIN(40,40*K35/1.5))+IF(S35="",0,IF(S35&lt;=7,20,IF(S35&lt;=30,12,IF(S35&lt;=90,5,0))))+IF(Q35="",0,MIN(15,Q35*5))+IF(O35="",0,MIN(15,O35*30))+IF(E35="Criador(a)",10,IF(E35="Especialista que cria conteúdo",6,4)),0)</f>
        <v>13</v>
      </c>
      <c r="Z35" s="13" t="s">
        <v>324</v>
      </c>
      <c r="AA35" s="13"/>
      <c r="AB35" s="13"/>
      <c r="AC35" s="13"/>
      <c r="AD35" s="13" t="s">
        <v>96</v>
      </c>
      <c r="AE35" s="13" t="s">
        <v>325</v>
      </c>
      <c r="AF35" s="13" t="s">
        <v>326</v>
      </c>
      <c r="AG35" s="24" t="s">
        <v>327</v>
      </c>
      <c r="AH35" s="13" t="s">
        <v>100</v>
      </c>
      <c r="AI35" s="13"/>
    </row>
    <row r="36" customFormat="false" ht="15" hidden="false" customHeight="false" outlineLevel="0" collapsed="false">
      <c r="A36" s="13" t="s">
        <v>35</v>
      </c>
      <c r="B36" s="13"/>
      <c r="C36" s="13" t="s">
        <v>328</v>
      </c>
      <c r="D36" s="13" t="s">
        <v>329</v>
      </c>
      <c r="E36" s="13" t="s">
        <v>157</v>
      </c>
      <c r="F36" s="13" t="s">
        <v>28</v>
      </c>
      <c r="G36" s="14" t="n">
        <v>6620</v>
      </c>
      <c r="H36" s="13" t="s">
        <v>19</v>
      </c>
      <c r="I36" s="15" t="n">
        <v>0.0115</v>
      </c>
      <c r="J36" s="16" t="n">
        <f aca="false">IFERROR(INDEX('Como ler'!$B$20:$B$24,MATCH(H36,'Como ler'!$A$20:$A$24,0)),"")</f>
        <v>0.025</v>
      </c>
      <c r="K36" s="17" t="n">
        <f aca="false">IF(OR(I36="",J36=""),"",I36/J36)</f>
        <v>0.46</v>
      </c>
      <c r="L36" s="14" t="n">
        <v>61</v>
      </c>
      <c r="M36" s="18" t="n">
        <v>18.5</v>
      </c>
      <c r="N36" s="14" t="n">
        <v>961</v>
      </c>
      <c r="O36" s="17" t="n">
        <f aca="false">IF(OR(N36="",G36=0),"",N36/G36)</f>
        <v>0.145166163141994</v>
      </c>
      <c r="P36" s="19" t="n">
        <v>0.27</v>
      </c>
      <c r="Q36" s="20" t="n">
        <v>0.1</v>
      </c>
      <c r="R36" s="21" t="n">
        <v>46289</v>
      </c>
      <c r="S36" s="22" t="n">
        <f aca="false">IF(R36="","",'Como ler'!$B$27-R36)</f>
        <v>3</v>
      </c>
      <c r="T36" s="13" t="n">
        <v>0</v>
      </c>
      <c r="U36" s="13"/>
      <c r="V36" s="13" t="s">
        <v>52</v>
      </c>
      <c r="W36" s="13" t="s">
        <v>330</v>
      </c>
      <c r="X36" s="23" t="s">
        <v>94</v>
      </c>
      <c r="Y36" s="13" t="n">
        <f aca="false">ROUND(IF(K36="",0,MIN(40,40*K36/1.5))+IF(S36="",0,IF(S36&lt;=7,20,IF(S36&lt;=30,12,IF(S36&lt;=90,5,0))))+IF(Q36="",0,MIN(15,Q36*5))+IF(O36="",0,MIN(15,O36*30))+IF(E36="Criador(a)",10,IF(E36="Especialista que cria conteúdo",6,4)),0)</f>
        <v>43</v>
      </c>
      <c r="Z36" s="13" t="s">
        <v>159</v>
      </c>
      <c r="AA36" s="13" t="s">
        <v>113</v>
      </c>
      <c r="AB36" s="13" t="s">
        <v>113</v>
      </c>
      <c r="AC36" s="13"/>
      <c r="AD36" s="13" t="s">
        <v>331</v>
      </c>
      <c r="AE36" s="13" t="s">
        <v>332</v>
      </c>
      <c r="AF36" s="13" t="s">
        <v>333</v>
      </c>
      <c r="AG36" s="24" t="s">
        <v>334</v>
      </c>
      <c r="AH36" s="13" t="s">
        <v>100</v>
      </c>
      <c r="AI36" s="13"/>
    </row>
    <row r="37" customFormat="false" ht="15" hidden="false" customHeight="false" outlineLevel="0" collapsed="false">
      <c r="A37" s="13" t="s">
        <v>35</v>
      </c>
      <c r="B37" s="13"/>
      <c r="C37" s="13" t="s">
        <v>335</v>
      </c>
      <c r="D37" s="13" t="s">
        <v>336</v>
      </c>
      <c r="E37" s="13" t="s">
        <v>30</v>
      </c>
      <c r="F37" s="13" t="s">
        <v>28</v>
      </c>
      <c r="G37" s="14" t="n">
        <v>6134</v>
      </c>
      <c r="H37" s="13" t="s">
        <v>19</v>
      </c>
      <c r="I37" s="15"/>
      <c r="J37" s="16" t="n">
        <f aca="false">IFERROR(INDEX('Como ler'!$B$20:$B$24,MATCH(H37,'Como ler'!$A$20:$A$24,0)),"")</f>
        <v>0.025</v>
      </c>
      <c r="K37" s="17" t="str">
        <f aca="false">IF(OR(I37="",J37=""),"",I37/J37)</f>
        <v/>
      </c>
      <c r="L37" s="14"/>
      <c r="M37" s="18" t="n">
        <v>19</v>
      </c>
      <c r="N37" s="14" t="n">
        <v>388</v>
      </c>
      <c r="O37" s="17" t="n">
        <f aca="false">IF(OR(N37="",G37=0),"",N37/G37)</f>
        <v>0.0632539941310727</v>
      </c>
      <c r="P37" s="19" t="n">
        <v>0.7</v>
      </c>
      <c r="Q37" s="20" t="n">
        <v>10.5</v>
      </c>
      <c r="R37" s="21" t="n">
        <v>46292</v>
      </c>
      <c r="S37" s="22" t="n">
        <f aca="false">IF(R37="","",'Como ler'!$B$27-R37)</f>
        <v>0</v>
      </c>
      <c r="T37" s="13" t="n">
        <v>0</v>
      </c>
      <c r="U37" s="13"/>
      <c r="V37" s="13" t="s">
        <v>44</v>
      </c>
      <c r="W37" s="13" t="s">
        <v>44</v>
      </c>
      <c r="X37" s="26" t="s">
        <v>129</v>
      </c>
      <c r="Y37" s="13" t="n">
        <f aca="false">ROUND(IF(K37="",0,MIN(40,40*K37/1.5))+IF(S37="",0,IF(S37&lt;=7,20,IF(S37&lt;=30,12,IF(S37&lt;=90,5,0))))+IF(Q37="",0,MIN(15,Q37*5))+IF(O37="",0,MIN(15,O37*30))+IF(E37="Criador(a)",10,IF(E37="Especialista que cria conteúdo",6,4)),0)</f>
        <v>47</v>
      </c>
      <c r="Z37" s="13" t="s">
        <v>159</v>
      </c>
      <c r="AA37" s="13"/>
      <c r="AB37" s="13" t="s">
        <v>113</v>
      </c>
      <c r="AC37" s="13"/>
      <c r="AD37" s="13" t="s">
        <v>151</v>
      </c>
      <c r="AE37" s="13" t="s">
        <v>337</v>
      </c>
      <c r="AF37" s="13" t="s">
        <v>338</v>
      </c>
      <c r="AG37" s="24" t="s">
        <v>339</v>
      </c>
      <c r="AH37" s="13" t="s">
        <v>100</v>
      </c>
      <c r="AI37" s="13" t="s">
        <v>119</v>
      </c>
    </row>
    <row r="38" customFormat="false" ht="15" hidden="false" customHeight="false" outlineLevel="0" collapsed="false">
      <c r="A38" s="13" t="s">
        <v>35</v>
      </c>
      <c r="B38" s="13"/>
      <c r="C38" s="13" t="s">
        <v>340</v>
      </c>
      <c r="D38" s="13" t="s">
        <v>341</v>
      </c>
      <c r="E38" s="13" t="s">
        <v>157</v>
      </c>
      <c r="F38" s="13" t="s">
        <v>28</v>
      </c>
      <c r="G38" s="14" t="n">
        <v>5771</v>
      </c>
      <c r="H38" s="13" t="s">
        <v>19</v>
      </c>
      <c r="I38" s="15" t="n">
        <v>0.0113</v>
      </c>
      <c r="J38" s="16" t="n">
        <f aca="false">IFERROR(INDEX('Como ler'!$B$20:$B$24,MATCH(H38,'Como ler'!$A$20:$A$24,0)),"")</f>
        <v>0.025</v>
      </c>
      <c r="K38" s="17" t="n">
        <f aca="false">IF(OR(I38="",J38=""),"",I38/J38)</f>
        <v>0.452</v>
      </c>
      <c r="L38" s="14" t="n">
        <v>58</v>
      </c>
      <c r="M38" s="18" t="n">
        <v>7.3</v>
      </c>
      <c r="N38" s="14" t="n">
        <v>392</v>
      </c>
      <c r="O38" s="17" t="n">
        <f aca="false">IF(OR(N38="",G38=0),"",N38/G38)</f>
        <v>0.0679258360769364</v>
      </c>
      <c r="P38" s="19" t="n">
        <v>0.83</v>
      </c>
      <c r="Q38" s="20" t="n">
        <v>0.4</v>
      </c>
      <c r="R38" s="21" t="n">
        <v>46265</v>
      </c>
      <c r="S38" s="22" t="n">
        <f aca="false">IF(R38="","",'Como ler'!$B$27-R38)</f>
        <v>27</v>
      </c>
      <c r="T38" s="13" t="n">
        <v>0</v>
      </c>
      <c r="U38" s="13"/>
      <c r="V38" s="13" t="s">
        <v>49</v>
      </c>
      <c r="W38" s="13" t="s">
        <v>342</v>
      </c>
      <c r="X38" s="23" t="s">
        <v>94</v>
      </c>
      <c r="Y38" s="13" t="n">
        <f aca="false">ROUND(IF(K38="",0,MIN(40,40*K38/1.5))+IF(S38="",0,IF(S38&lt;=7,20,IF(S38&lt;=30,12,IF(S38&lt;=90,5,0))))+IF(Q38="",0,MIN(15,Q38*5))+IF(O38="",0,MIN(15,O38*30))+IF(E38="Criador(a)",10,IF(E38="Especialista que cria conteúdo",6,4)),0)</f>
        <v>34</v>
      </c>
      <c r="Z38" s="13" t="s">
        <v>105</v>
      </c>
      <c r="AA38" s="13"/>
      <c r="AB38" s="13" t="s">
        <v>113</v>
      </c>
      <c r="AC38" s="13"/>
      <c r="AD38" s="13" t="s">
        <v>272</v>
      </c>
      <c r="AE38" s="13" t="s">
        <v>343</v>
      </c>
      <c r="AF38" s="13" t="s">
        <v>344</v>
      </c>
      <c r="AG38" s="24" t="s">
        <v>345</v>
      </c>
      <c r="AH38" s="13" t="s">
        <v>100</v>
      </c>
      <c r="AI38" s="13"/>
    </row>
    <row r="39" customFormat="false" ht="15" hidden="false" customHeight="false" outlineLevel="0" collapsed="false">
      <c r="A39" s="13" t="s">
        <v>35</v>
      </c>
      <c r="B39" s="13" t="s">
        <v>38</v>
      </c>
      <c r="C39" s="13" t="s">
        <v>346</v>
      </c>
      <c r="D39" s="13" t="s">
        <v>347</v>
      </c>
      <c r="E39" s="13" t="s">
        <v>30</v>
      </c>
      <c r="F39" s="13" t="s">
        <v>28</v>
      </c>
      <c r="G39" s="14" t="n">
        <v>5648</v>
      </c>
      <c r="H39" s="13" t="s">
        <v>19</v>
      </c>
      <c r="I39" s="15" t="n">
        <v>0.0282</v>
      </c>
      <c r="J39" s="16" t="n">
        <f aca="false">IFERROR(INDEX('Como ler'!$B$20:$B$24,MATCH(H39,'Como ler'!$A$20:$A$24,0)),"")</f>
        <v>0.025</v>
      </c>
      <c r="K39" s="17" t="n">
        <f aca="false">IF(OR(I39="",J39=""),"",I39/J39)</f>
        <v>1.128</v>
      </c>
      <c r="L39" s="14" t="n">
        <v>148</v>
      </c>
      <c r="M39" s="18" t="n">
        <v>6.8</v>
      </c>
      <c r="N39" s="14" t="n">
        <v>1382</v>
      </c>
      <c r="O39" s="17" t="n">
        <f aca="false">IF(OR(N39="",G39=0),"",N39/G39)</f>
        <v>0.244688385269122</v>
      </c>
      <c r="P39" s="19" t="n">
        <v>0.5</v>
      </c>
      <c r="Q39" s="20" t="n">
        <v>0.6</v>
      </c>
      <c r="R39" s="21" t="n">
        <v>46290</v>
      </c>
      <c r="S39" s="22" t="n">
        <f aca="false">IF(R39="","",'Como ler'!$B$27-R39)</f>
        <v>2</v>
      </c>
      <c r="T39" s="13" t="n">
        <v>0</v>
      </c>
      <c r="U39" s="13"/>
      <c r="V39" s="13" t="s">
        <v>45</v>
      </c>
      <c r="W39" s="13" t="s">
        <v>45</v>
      </c>
      <c r="X39" s="25" t="s">
        <v>104</v>
      </c>
      <c r="Y39" s="13" t="n">
        <f aca="false">ROUND(IF(K39="",0,MIN(40,40*K39/1.5))+IF(S39="",0,IF(S39&lt;=7,20,IF(S39&lt;=30,12,IF(S39&lt;=90,5,0))))+IF(Q39="",0,MIN(15,Q39*5))+IF(O39="",0,MIN(15,O39*30))+IF(E39="Criador(a)",10,IF(E39="Especialista que cria conteúdo",6,4)),0)</f>
        <v>70</v>
      </c>
      <c r="Z39" s="13" t="s">
        <v>289</v>
      </c>
      <c r="AA39" s="13"/>
      <c r="AB39" s="13"/>
      <c r="AC39" s="13"/>
      <c r="AD39" s="13" t="s">
        <v>348</v>
      </c>
      <c r="AE39" s="13" t="s">
        <v>349</v>
      </c>
      <c r="AF39" s="13" t="s">
        <v>350</v>
      </c>
      <c r="AG39" s="24" t="s">
        <v>351</v>
      </c>
      <c r="AH39" s="13" t="s">
        <v>100</v>
      </c>
      <c r="AI39" s="13"/>
    </row>
    <row r="40" customFormat="false" ht="15" hidden="false" customHeight="false" outlineLevel="0" collapsed="false">
      <c r="A40" s="13" t="s">
        <v>35</v>
      </c>
      <c r="B40" s="13" t="s">
        <v>38</v>
      </c>
      <c r="C40" s="13" t="s">
        <v>352</v>
      </c>
      <c r="D40" s="13" t="s">
        <v>353</v>
      </c>
      <c r="E40" s="13" t="s">
        <v>30</v>
      </c>
      <c r="F40" s="13" t="s">
        <v>29</v>
      </c>
      <c r="G40" s="14" t="n">
        <v>4593</v>
      </c>
      <c r="H40" s="13" t="s">
        <v>19</v>
      </c>
      <c r="I40" s="15" t="n">
        <v>0.047</v>
      </c>
      <c r="J40" s="16" t="n">
        <f aca="false">IFERROR(INDEX('Como ler'!$B$20:$B$24,MATCH(H40,'Como ler'!$A$20:$A$24,0)),"")</f>
        <v>0.025</v>
      </c>
      <c r="K40" s="17" t="n">
        <f aca="false">IF(OR(I40="",J40=""),"",I40/J40)</f>
        <v>1.88</v>
      </c>
      <c r="L40" s="14" t="n">
        <v>285</v>
      </c>
      <c r="M40" s="18" t="n">
        <v>40.6</v>
      </c>
      <c r="N40" s="14" t="n">
        <v>2529</v>
      </c>
      <c r="O40" s="17" t="n">
        <f aca="false">IF(OR(N40="",G40=0),"",N40/G40)</f>
        <v>0.550620509470934</v>
      </c>
      <c r="P40" s="19" t="n">
        <v>0.67</v>
      </c>
      <c r="Q40" s="20" t="n">
        <v>2.3</v>
      </c>
      <c r="R40" s="21" t="n">
        <v>46291</v>
      </c>
      <c r="S40" s="22" t="n">
        <f aca="false">IF(R40="","",'Como ler'!$B$27-R40)</f>
        <v>1</v>
      </c>
      <c r="T40" s="13" t="n">
        <v>0</v>
      </c>
      <c r="U40" s="13"/>
      <c r="V40" s="13" t="s">
        <v>45</v>
      </c>
      <c r="W40" s="13" t="s">
        <v>354</v>
      </c>
      <c r="X40" s="23" t="s">
        <v>94</v>
      </c>
      <c r="Y40" s="13" t="n">
        <f aca="false">ROUND(IF(K40="",0,MIN(40,40*K40/1.5))+IF(S40="",0,IF(S40&lt;=7,20,IF(S40&lt;=30,12,IF(S40&lt;=90,5,0))))+IF(Q40="",0,MIN(15,Q40*5))+IF(O40="",0,MIN(15,O40*30))+IF(E40="Criador(a)",10,IF(E40="Especialista que cria conteúdo",6,4)),0)</f>
        <v>97</v>
      </c>
      <c r="Z40" s="13" t="s">
        <v>355</v>
      </c>
      <c r="AA40" s="13"/>
      <c r="AB40" s="13" t="s">
        <v>113</v>
      </c>
      <c r="AC40" s="13"/>
      <c r="AD40" s="13" t="s">
        <v>356</v>
      </c>
      <c r="AE40" s="13" t="s">
        <v>357</v>
      </c>
      <c r="AF40" s="13" t="s">
        <v>358</v>
      </c>
      <c r="AG40" s="24" t="s">
        <v>359</v>
      </c>
      <c r="AH40" s="13" t="s">
        <v>100</v>
      </c>
      <c r="AI40" s="13"/>
    </row>
    <row r="41" customFormat="false" ht="15" hidden="false" customHeight="false" outlineLevel="0" collapsed="false">
      <c r="A41" s="13" t="s">
        <v>35</v>
      </c>
      <c r="B41" s="13"/>
      <c r="C41" s="13" t="s">
        <v>360</v>
      </c>
      <c r="D41" s="13" t="s">
        <v>361</v>
      </c>
      <c r="E41" s="13" t="s">
        <v>157</v>
      </c>
      <c r="F41" s="13" t="s">
        <v>28</v>
      </c>
      <c r="G41" s="14" t="n">
        <v>4422</v>
      </c>
      <c r="H41" s="13" t="s">
        <v>19</v>
      </c>
      <c r="I41" s="15" t="n">
        <v>0.0096</v>
      </c>
      <c r="J41" s="16" t="n">
        <f aca="false">IFERROR(INDEX('Como ler'!$B$20:$B$24,MATCH(H41,'Como ler'!$A$20:$A$24,0)),"")</f>
        <v>0.025</v>
      </c>
      <c r="K41" s="17" t="n">
        <f aca="false">IF(OR(I41="",J41=""),"",I41/J41)</f>
        <v>0.384</v>
      </c>
      <c r="L41" s="14" t="n">
        <v>53</v>
      </c>
      <c r="M41" s="18" t="n">
        <v>12.4</v>
      </c>
      <c r="N41" s="14" t="n">
        <v>638</v>
      </c>
      <c r="O41" s="17" t="n">
        <f aca="false">IF(OR(N41="",G41=0),"",N41/G41)</f>
        <v>0.144278606965174</v>
      </c>
      <c r="P41" s="19" t="n">
        <v>0.5</v>
      </c>
      <c r="Q41" s="20" t="n">
        <v>3.2</v>
      </c>
      <c r="R41" s="21" t="n">
        <v>46286</v>
      </c>
      <c r="S41" s="22" t="n">
        <f aca="false">IF(R41="","",'Como ler'!$B$27-R41)</f>
        <v>6</v>
      </c>
      <c r="T41" s="13" t="n">
        <v>0</v>
      </c>
      <c r="U41" s="13"/>
      <c r="V41" s="13" t="s">
        <v>47</v>
      </c>
      <c r="W41" s="13" t="s">
        <v>362</v>
      </c>
      <c r="X41" s="23" t="s">
        <v>94</v>
      </c>
      <c r="Y41" s="13" t="n">
        <f aca="false">ROUND(IF(K41="",0,MIN(40,40*K41/1.5))+IF(S41="",0,IF(S41&lt;=7,20,IF(S41&lt;=30,12,IF(S41&lt;=90,5,0))))+IF(Q41="",0,MIN(15,Q41*5))+IF(O41="",0,MIN(15,O41*30))+IF(E41="Criador(a)",10,IF(E41="Especialista que cria conteúdo",6,4)),0)</f>
        <v>56</v>
      </c>
      <c r="Z41" s="13" t="s">
        <v>105</v>
      </c>
      <c r="AA41" s="13"/>
      <c r="AB41" s="13" t="s">
        <v>113</v>
      </c>
      <c r="AC41" s="13"/>
      <c r="AD41" s="13" t="s">
        <v>96</v>
      </c>
      <c r="AE41" s="13"/>
      <c r="AF41" s="13" t="s">
        <v>363</v>
      </c>
      <c r="AG41" s="24" t="s">
        <v>364</v>
      </c>
      <c r="AH41" s="13" t="s">
        <v>100</v>
      </c>
      <c r="AI41" s="13"/>
    </row>
    <row r="42" customFormat="false" ht="15" hidden="false" customHeight="false" outlineLevel="0" collapsed="false">
      <c r="A42" s="13" t="s">
        <v>35</v>
      </c>
      <c r="B42" s="13" t="s">
        <v>36</v>
      </c>
      <c r="C42" s="13" t="s">
        <v>365</v>
      </c>
      <c r="D42" s="13" t="s">
        <v>366</v>
      </c>
      <c r="E42" s="13" t="s">
        <v>157</v>
      </c>
      <c r="F42" s="13" t="s">
        <v>29</v>
      </c>
      <c r="G42" s="14" t="n">
        <v>4378</v>
      </c>
      <c r="H42" s="13" t="s">
        <v>19</v>
      </c>
      <c r="I42" s="15" t="n">
        <v>0.0046</v>
      </c>
      <c r="J42" s="16" t="n">
        <f aca="false">IFERROR(INDEX('Como ler'!$B$20:$B$24,MATCH(H42,'Como ler'!$A$20:$A$24,0)),"")</f>
        <v>0.025</v>
      </c>
      <c r="K42" s="17" t="n">
        <f aca="false">IF(OR(I42="",J42=""),"",I42/J42)</f>
        <v>0.184</v>
      </c>
      <c r="L42" s="14" t="n">
        <v>51</v>
      </c>
      <c r="M42" s="18" t="n">
        <v>0.3</v>
      </c>
      <c r="N42" s="14" t="n">
        <v>318</v>
      </c>
      <c r="O42" s="17" t="n">
        <f aca="false">IF(OR(N42="",G42=0),"",N42/G42)</f>
        <v>0.0726359068067611</v>
      </c>
      <c r="P42" s="19" t="n">
        <v>0.33</v>
      </c>
      <c r="Q42" s="20" t="n">
        <v>2.3</v>
      </c>
      <c r="R42" s="21" t="n">
        <v>46239</v>
      </c>
      <c r="S42" s="22" t="n">
        <f aca="false">IF(R42="","",'Como ler'!$B$27-R42)</f>
        <v>53</v>
      </c>
      <c r="T42" s="13" t="n">
        <v>0</v>
      </c>
      <c r="U42" s="13"/>
      <c r="V42" s="13" t="s">
        <v>47</v>
      </c>
      <c r="W42" s="13" t="s">
        <v>367</v>
      </c>
      <c r="X42" s="25" t="s">
        <v>104</v>
      </c>
      <c r="Y42" s="13" t="n">
        <f aca="false">ROUND(IF(K42="",0,MIN(40,40*K42/1.5))+IF(S42="",0,IF(S42&lt;=7,20,IF(S42&lt;=30,12,IF(S42&lt;=90,5,0))))+IF(Q42="",0,MIN(15,Q42*5))+IF(O42="",0,MIN(15,O42*30))+IF(E42="Criador(a)",10,IF(E42="Especialista que cria conteúdo",6,4)),0)</f>
        <v>30</v>
      </c>
      <c r="Z42" s="13" t="s">
        <v>105</v>
      </c>
      <c r="AA42" s="13"/>
      <c r="AB42" s="13" t="s">
        <v>113</v>
      </c>
      <c r="AC42" s="13"/>
      <c r="AD42" s="13" t="s">
        <v>368</v>
      </c>
      <c r="AE42" s="13" t="s">
        <v>369</v>
      </c>
      <c r="AF42" s="13" t="s">
        <v>370</v>
      </c>
      <c r="AG42" s="24" t="s">
        <v>371</v>
      </c>
      <c r="AH42" s="13" t="s">
        <v>100</v>
      </c>
      <c r="AI42" s="13"/>
    </row>
    <row r="43" customFormat="false" ht="15" hidden="false" customHeight="false" outlineLevel="0" collapsed="false">
      <c r="A43" s="13" t="s">
        <v>35</v>
      </c>
      <c r="B43" s="13"/>
      <c r="C43" s="13" t="s">
        <v>372</v>
      </c>
      <c r="D43" s="13" t="s">
        <v>373</v>
      </c>
      <c r="E43" s="13" t="s">
        <v>30</v>
      </c>
      <c r="F43" s="13" t="s">
        <v>28</v>
      </c>
      <c r="G43" s="14" t="n">
        <v>3941</v>
      </c>
      <c r="H43" s="13" t="s">
        <v>19</v>
      </c>
      <c r="I43" s="15" t="n">
        <v>0.0192</v>
      </c>
      <c r="J43" s="16" t="n">
        <f aca="false">IFERROR(INDEX('Como ler'!$B$20:$B$24,MATCH(H43,'Como ler'!$A$20:$A$24,0)),"")</f>
        <v>0.025</v>
      </c>
      <c r="K43" s="17" t="n">
        <f aca="false">IF(OR(I43="",J43=""),"",I43/J43)</f>
        <v>0.768</v>
      </c>
      <c r="L43" s="14" t="n">
        <v>209</v>
      </c>
      <c r="M43" s="18" t="n">
        <v>12.9</v>
      </c>
      <c r="N43" s="14" t="n">
        <v>1163</v>
      </c>
      <c r="O43" s="17" t="n">
        <f aca="false">IF(OR(N43="",G43=0),"",N43/G43)</f>
        <v>0.295102765795483</v>
      </c>
      <c r="P43" s="19" t="n">
        <v>0.7</v>
      </c>
      <c r="Q43" s="20" t="n">
        <v>3.5</v>
      </c>
      <c r="R43" s="21" t="n">
        <v>46289</v>
      </c>
      <c r="S43" s="22" t="n">
        <f aca="false">IF(R43="","",'Como ler'!$B$27-R43)</f>
        <v>3</v>
      </c>
      <c r="T43" s="13" t="n">
        <v>0</v>
      </c>
      <c r="U43" s="13"/>
      <c r="V43" s="13" t="s">
        <v>43</v>
      </c>
      <c r="W43" s="13" t="s">
        <v>374</v>
      </c>
      <c r="X43" s="23" t="s">
        <v>94</v>
      </c>
      <c r="Y43" s="13" t="n">
        <f aca="false">ROUND(IF(K43="",0,MIN(40,40*K43/1.5))+IF(S43="",0,IF(S43&lt;=7,20,IF(S43&lt;=30,12,IF(S43&lt;=90,5,0))))+IF(Q43="",0,MIN(15,Q43*5))+IF(O43="",0,MIN(15,O43*30))+IF(E43="Criador(a)",10,IF(E43="Especialista que cria conteúdo",6,4)),0)</f>
        <v>74</v>
      </c>
      <c r="Z43" s="13" t="s">
        <v>105</v>
      </c>
      <c r="AA43" s="13"/>
      <c r="AB43" s="13" t="s">
        <v>113</v>
      </c>
      <c r="AC43" s="13"/>
      <c r="AD43" s="13" t="s">
        <v>375</v>
      </c>
      <c r="AE43" s="13" t="s">
        <v>376</v>
      </c>
      <c r="AF43" s="13" t="s">
        <v>377</v>
      </c>
      <c r="AG43" s="24" t="s">
        <v>378</v>
      </c>
      <c r="AH43" s="13" t="s">
        <v>100</v>
      </c>
      <c r="AI43" s="13"/>
    </row>
    <row r="44" customFormat="false" ht="15" hidden="false" customHeight="false" outlineLevel="0" collapsed="false">
      <c r="A44" s="13" t="s">
        <v>35</v>
      </c>
      <c r="B44" s="13"/>
      <c r="C44" s="13" t="s">
        <v>379</v>
      </c>
      <c r="D44" s="13" t="s">
        <v>380</v>
      </c>
      <c r="E44" s="13" t="s">
        <v>30</v>
      </c>
      <c r="F44" s="13" t="s">
        <v>28</v>
      </c>
      <c r="G44" s="14" t="n">
        <v>3759</v>
      </c>
      <c r="H44" s="13" t="s">
        <v>19</v>
      </c>
      <c r="I44" s="15" t="n">
        <v>0.0067</v>
      </c>
      <c r="J44" s="16" t="n">
        <f aca="false">IFERROR(INDEX('Como ler'!$B$20:$B$24,MATCH(H44,'Como ler'!$A$20:$A$24,0)),"")</f>
        <v>0.025</v>
      </c>
      <c r="K44" s="17" t="n">
        <f aca="false">IF(OR(I44="",J44=""),"",I44/J44)</f>
        <v>0.268</v>
      </c>
      <c r="L44" s="14" t="n">
        <v>45</v>
      </c>
      <c r="M44" s="18" t="n">
        <v>2.7</v>
      </c>
      <c r="N44" s="14" t="n">
        <v>202</v>
      </c>
      <c r="O44" s="17" t="n">
        <f aca="false">IF(OR(N44="",G44=0),"",N44/G44)</f>
        <v>0.0537376961957968</v>
      </c>
      <c r="P44" s="19" t="n">
        <v>0.58</v>
      </c>
      <c r="Q44" s="20" t="n">
        <v>1.6</v>
      </c>
      <c r="R44" s="21" t="n">
        <v>46291</v>
      </c>
      <c r="S44" s="22" t="n">
        <f aca="false">IF(R44="","",'Como ler'!$B$27-R44)</f>
        <v>1</v>
      </c>
      <c r="T44" s="13" t="n">
        <v>0</v>
      </c>
      <c r="U44" s="13"/>
      <c r="V44" s="13" t="s">
        <v>42</v>
      </c>
      <c r="W44" s="13" t="s">
        <v>381</v>
      </c>
      <c r="X44" s="26" t="s">
        <v>129</v>
      </c>
      <c r="Y44" s="13" t="n">
        <f aca="false">ROUND(IF(K44="",0,MIN(40,40*K44/1.5))+IF(S44="",0,IF(S44&lt;=7,20,IF(S44&lt;=30,12,IF(S44&lt;=90,5,0))))+IF(Q44="",0,MIN(15,Q44*5))+IF(O44="",0,MIN(15,O44*30))+IF(E44="Criador(a)",10,IF(E44="Especialista que cria conteúdo",6,4)),0)</f>
        <v>47</v>
      </c>
      <c r="Z44" s="13" t="s">
        <v>289</v>
      </c>
      <c r="AA44" s="13"/>
      <c r="AB44" s="13" t="s">
        <v>113</v>
      </c>
      <c r="AC44" s="13"/>
      <c r="AD44" s="13" t="s">
        <v>331</v>
      </c>
      <c r="AE44" s="13" t="s">
        <v>382</v>
      </c>
      <c r="AF44" s="13" t="s">
        <v>383</v>
      </c>
      <c r="AG44" s="24" t="s">
        <v>384</v>
      </c>
      <c r="AH44" s="13" t="s">
        <v>100</v>
      </c>
      <c r="AI44" s="13"/>
    </row>
    <row r="45" customFormat="false" ht="15" hidden="false" customHeight="false" outlineLevel="0" collapsed="false">
      <c r="A45" s="13" t="s">
        <v>35</v>
      </c>
      <c r="B45" s="13" t="s">
        <v>36</v>
      </c>
      <c r="C45" s="13" t="s">
        <v>385</v>
      </c>
      <c r="D45" s="13" t="s">
        <v>386</v>
      </c>
      <c r="E45" s="13" t="s">
        <v>157</v>
      </c>
      <c r="F45" s="13" t="s">
        <v>28</v>
      </c>
      <c r="G45" s="14" t="n">
        <v>3647</v>
      </c>
      <c r="H45" s="13" t="s">
        <v>19</v>
      </c>
      <c r="I45" s="15" t="n">
        <v>0.0337</v>
      </c>
      <c r="J45" s="16" t="n">
        <f aca="false">IFERROR(INDEX('Como ler'!$B$20:$B$24,MATCH(H45,'Como ler'!$A$20:$A$24,0)),"")</f>
        <v>0.025</v>
      </c>
      <c r="K45" s="17" t="n">
        <f aca="false">IF(OR(I45="",J45=""),"",I45/J45)</f>
        <v>1.348</v>
      </c>
      <c r="L45" s="14" t="n">
        <v>105</v>
      </c>
      <c r="M45" s="18" t="n">
        <v>16.9</v>
      </c>
      <c r="N45" s="14" t="n">
        <v>428</v>
      </c>
      <c r="O45" s="17" t="n">
        <f aca="false">IF(OR(N45="",G45=0),"",N45/G45)</f>
        <v>0.117356731560186</v>
      </c>
      <c r="P45" s="19" t="n">
        <v>0.33</v>
      </c>
      <c r="Q45" s="20" t="n">
        <v>0.9</v>
      </c>
      <c r="R45" s="21" t="n">
        <v>46286</v>
      </c>
      <c r="S45" s="22" t="n">
        <f aca="false">IF(R45="","",'Como ler'!$B$27-R45)</f>
        <v>6</v>
      </c>
      <c r="T45" s="13" t="n">
        <v>0</v>
      </c>
      <c r="U45" s="13"/>
      <c r="V45" s="13" t="s">
        <v>52</v>
      </c>
      <c r="W45" s="13" t="s">
        <v>52</v>
      </c>
      <c r="X45" s="23" t="s">
        <v>94</v>
      </c>
      <c r="Y45" s="13" t="n">
        <f aca="false">ROUND(IF(K45="",0,MIN(40,40*K45/1.5))+IF(S45="",0,IF(S45&lt;=7,20,IF(S45&lt;=30,12,IF(S45&lt;=90,5,0))))+IF(Q45="",0,MIN(15,Q45*5))+IF(O45="",0,MIN(15,O45*30))+IF(E45="Criador(a)",10,IF(E45="Especialista que cria conteúdo",6,4)),0)</f>
        <v>70</v>
      </c>
      <c r="Z45" s="13"/>
      <c r="AA45" s="13"/>
      <c r="AB45" s="13" t="s">
        <v>113</v>
      </c>
      <c r="AC45" s="13" t="s">
        <v>130</v>
      </c>
      <c r="AD45" s="13" t="s">
        <v>387</v>
      </c>
      <c r="AE45" s="13" t="s">
        <v>388</v>
      </c>
      <c r="AF45" s="13" t="s">
        <v>389</v>
      </c>
      <c r="AG45" s="24" t="s">
        <v>390</v>
      </c>
      <c r="AH45" s="13" t="s">
        <v>100</v>
      </c>
      <c r="AI45" s="13"/>
    </row>
    <row r="46" customFormat="false" ht="15" hidden="false" customHeight="false" outlineLevel="0" collapsed="false">
      <c r="A46" s="13" t="s">
        <v>35</v>
      </c>
      <c r="B46" s="13"/>
      <c r="C46" s="13" t="s">
        <v>391</v>
      </c>
      <c r="D46" s="13" t="s">
        <v>392</v>
      </c>
      <c r="E46" s="13" t="s">
        <v>30</v>
      </c>
      <c r="F46" s="13" t="s">
        <v>28</v>
      </c>
      <c r="G46" s="14" t="n">
        <v>3375</v>
      </c>
      <c r="H46" s="13" t="s">
        <v>19</v>
      </c>
      <c r="I46" s="15" t="n">
        <v>0.0166</v>
      </c>
      <c r="J46" s="16" t="n">
        <f aca="false">IFERROR(INDEX('Como ler'!$B$20:$B$24,MATCH(H46,'Como ler'!$A$20:$A$24,0)),"")</f>
        <v>0.025</v>
      </c>
      <c r="K46" s="17" t="n">
        <f aca="false">IF(OR(I46="",J46=""),"",I46/J46)</f>
        <v>0.664</v>
      </c>
      <c r="L46" s="14" t="n">
        <v>54</v>
      </c>
      <c r="M46" s="18" t="n">
        <v>8.4</v>
      </c>
      <c r="N46" s="14" t="n">
        <v>372</v>
      </c>
      <c r="O46" s="17" t="n">
        <f aca="false">IF(OR(N46="",G46=0),"",N46/G46)</f>
        <v>0.110222222222222</v>
      </c>
      <c r="P46" s="19" t="n">
        <v>0.55</v>
      </c>
      <c r="Q46" s="20" t="n">
        <v>0.1</v>
      </c>
      <c r="R46" s="21" t="n">
        <v>46290</v>
      </c>
      <c r="S46" s="22" t="n">
        <f aca="false">IF(R46="","",'Como ler'!$B$27-R46)</f>
        <v>2</v>
      </c>
      <c r="T46" s="13" t="n">
        <v>0</v>
      </c>
      <c r="U46" s="13"/>
      <c r="V46" s="13" t="s">
        <v>47</v>
      </c>
      <c r="W46" s="13" t="s">
        <v>47</v>
      </c>
      <c r="X46" s="25" t="s">
        <v>104</v>
      </c>
      <c r="Y46" s="13" t="n">
        <f aca="false">ROUND(IF(K46="",0,MIN(40,40*K46/1.5))+IF(S46="",0,IF(S46&lt;=7,20,IF(S46&lt;=30,12,IF(S46&lt;=90,5,0))))+IF(Q46="",0,MIN(15,Q46*5))+IF(O46="",0,MIN(15,O46*30))+IF(E46="Criador(a)",10,IF(E46="Especialista que cria conteúdo",6,4)),0)</f>
        <v>52</v>
      </c>
      <c r="Z46" s="13"/>
      <c r="AA46" s="13"/>
      <c r="AB46" s="13"/>
      <c r="AC46" s="13"/>
      <c r="AD46" s="13" t="s">
        <v>122</v>
      </c>
      <c r="AE46" s="13" t="s">
        <v>393</v>
      </c>
      <c r="AF46" s="13" t="s">
        <v>394</v>
      </c>
      <c r="AG46" s="24" t="s">
        <v>395</v>
      </c>
      <c r="AH46" s="13" t="s">
        <v>100</v>
      </c>
      <c r="AI46" s="13"/>
    </row>
    <row r="47" customFormat="false" ht="15" hidden="false" customHeight="false" outlineLevel="0" collapsed="false">
      <c r="A47" s="13" t="s">
        <v>35</v>
      </c>
      <c r="B47" s="13"/>
      <c r="C47" s="13" t="s">
        <v>396</v>
      </c>
      <c r="D47" s="13" t="s">
        <v>397</v>
      </c>
      <c r="E47" s="13" t="s">
        <v>157</v>
      </c>
      <c r="F47" s="13" t="s">
        <v>28</v>
      </c>
      <c r="G47" s="14" t="n">
        <v>3121</v>
      </c>
      <c r="H47" s="13" t="s">
        <v>19</v>
      </c>
      <c r="I47" s="15" t="n">
        <v>0.0061</v>
      </c>
      <c r="J47" s="16" t="n">
        <f aca="false">IFERROR(INDEX('Como ler'!$B$20:$B$24,MATCH(H47,'Como ler'!$A$20:$A$24,0)),"")</f>
        <v>0.025</v>
      </c>
      <c r="K47" s="17" t="n">
        <f aca="false">IF(OR(I47="",J47=""),"",I47/J47)</f>
        <v>0.244</v>
      </c>
      <c r="L47" s="14" t="n">
        <v>21</v>
      </c>
      <c r="M47" s="18" t="n">
        <v>7</v>
      </c>
      <c r="N47" s="14" t="n">
        <v>226</v>
      </c>
      <c r="O47" s="17" t="n">
        <f aca="false">IF(OR(N47="",G47=0),"",N47/G47)</f>
        <v>0.0724126882409484</v>
      </c>
      <c r="P47" s="19" t="n">
        <v>0.44</v>
      </c>
      <c r="Q47" s="20" t="n">
        <v>1.2</v>
      </c>
      <c r="R47" s="21" t="n">
        <v>46287</v>
      </c>
      <c r="S47" s="22" t="n">
        <f aca="false">IF(R47="","",'Como ler'!$B$27-R47)</f>
        <v>5</v>
      </c>
      <c r="T47" s="13" t="n">
        <v>0</v>
      </c>
      <c r="U47" s="13"/>
      <c r="V47" s="13" t="s">
        <v>55</v>
      </c>
      <c r="W47" s="13" t="s">
        <v>398</v>
      </c>
      <c r="X47" s="26" t="s">
        <v>129</v>
      </c>
      <c r="Y47" s="13" t="n">
        <f aca="false">ROUND(IF(K47="",0,MIN(40,40*K47/1.5))+IF(S47="",0,IF(S47&lt;=7,20,IF(S47&lt;=30,12,IF(S47&lt;=90,5,0))))+IF(Q47="",0,MIN(15,Q47*5))+IF(O47="",0,MIN(15,O47*30))+IF(E47="Criador(a)",10,IF(E47="Especialista que cria conteúdo",6,4)),0)</f>
        <v>41</v>
      </c>
      <c r="Z47" s="13" t="s">
        <v>399</v>
      </c>
      <c r="AA47" s="13"/>
      <c r="AB47" s="13" t="s">
        <v>113</v>
      </c>
      <c r="AC47" s="13"/>
      <c r="AD47" s="13" t="s">
        <v>400</v>
      </c>
      <c r="AE47" s="13" t="s">
        <v>401</v>
      </c>
      <c r="AF47" s="13" t="s">
        <v>402</v>
      </c>
      <c r="AG47" s="24" t="s">
        <v>403</v>
      </c>
      <c r="AH47" s="13" t="s">
        <v>100</v>
      </c>
      <c r="AI47" s="13"/>
    </row>
    <row r="48" customFormat="false" ht="15" hidden="false" customHeight="false" outlineLevel="0" collapsed="false">
      <c r="A48" s="13" t="s">
        <v>35</v>
      </c>
      <c r="B48" s="13"/>
      <c r="C48" s="13" t="s">
        <v>404</v>
      </c>
      <c r="D48" s="13" t="s">
        <v>405</v>
      </c>
      <c r="E48" s="13" t="s">
        <v>30</v>
      </c>
      <c r="F48" s="13" t="s">
        <v>29</v>
      </c>
      <c r="G48" s="14" t="n">
        <v>2821</v>
      </c>
      <c r="H48" s="13" t="s">
        <v>18</v>
      </c>
      <c r="I48" s="15" t="n">
        <v>0.0349</v>
      </c>
      <c r="J48" s="16" t="n">
        <f aca="false">IFERROR(INDEX('Como ler'!$B$20:$B$24,MATCH(H48,'Como ler'!$A$20:$A$24,0)),"")</f>
        <v>0.04</v>
      </c>
      <c r="K48" s="17" t="n">
        <f aca="false">IF(OR(I48="",J48=""),"",I48/J48)</f>
        <v>0.8725</v>
      </c>
      <c r="L48" s="14" t="n">
        <v>89</v>
      </c>
      <c r="M48" s="18" t="n">
        <v>4.9</v>
      </c>
      <c r="N48" s="14" t="n">
        <v>984</v>
      </c>
      <c r="O48" s="17" t="n">
        <f aca="false">IF(OR(N48="",G48=0),"",N48/G48)</f>
        <v>0.348812477844736</v>
      </c>
      <c r="P48" s="19" t="n">
        <v>0.25</v>
      </c>
      <c r="Q48" s="20" t="n">
        <v>0.3</v>
      </c>
      <c r="R48" s="21" t="n">
        <v>46275</v>
      </c>
      <c r="S48" s="22" t="n">
        <f aca="false">IF(R48="","",'Como ler'!$B$27-R48)</f>
        <v>17</v>
      </c>
      <c r="T48" s="13" t="n">
        <v>0</v>
      </c>
      <c r="U48" s="13"/>
      <c r="V48" s="13"/>
      <c r="W48" s="13"/>
      <c r="X48" s="25" t="s">
        <v>104</v>
      </c>
      <c r="Y48" s="13" t="n">
        <f aca="false">ROUND(IF(K48="",0,MIN(40,40*K48/1.5))+IF(S48="",0,IF(S48&lt;=7,20,IF(S48&lt;=30,12,IF(S48&lt;=90,5,0))))+IF(Q48="",0,MIN(15,Q48*5))+IF(O48="",0,MIN(15,O48*30))+IF(E48="Criador(a)",10,IF(E48="Especialista que cria conteúdo",6,4)),0)</f>
        <v>57</v>
      </c>
      <c r="Z48" s="13"/>
      <c r="AA48" s="13"/>
      <c r="AB48" s="13"/>
      <c r="AC48" s="13"/>
      <c r="AD48" s="13" t="s">
        <v>115</v>
      </c>
      <c r="AE48" s="13" t="s">
        <v>406</v>
      </c>
      <c r="AF48" s="13" t="s">
        <v>407</v>
      </c>
      <c r="AG48" s="24" t="s">
        <v>408</v>
      </c>
      <c r="AH48" s="13" t="s">
        <v>100</v>
      </c>
      <c r="AI48" s="13"/>
    </row>
    <row r="49" customFormat="false" ht="15" hidden="false" customHeight="false" outlineLevel="0" collapsed="false">
      <c r="A49" s="13" t="s">
        <v>35</v>
      </c>
      <c r="B49" s="13"/>
      <c r="C49" s="13" t="s">
        <v>409</v>
      </c>
      <c r="D49" s="13" t="s">
        <v>410</v>
      </c>
      <c r="E49" s="13" t="s">
        <v>157</v>
      </c>
      <c r="F49" s="13" t="s">
        <v>29</v>
      </c>
      <c r="G49" s="14" t="n">
        <v>2614</v>
      </c>
      <c r="H49" s="13" t="s">
        <v>18</v>
      </c>
      <c r="I49" s="15" t="n">
        <v>0.0042</v>
      </c>
      <c r="J49" s="16" t="n">
        <f aca="false">IFERROR(INDEX('Como ler'!$B$20:$B$24,MATCH(H49,'Como ler'!$A$20:$A$24,0)),"")</f>
        <v>0.04</v>
      </c>
      <c r="K49" s="17" t="n">
        <f aca="false">IF(OR(I49="",J49=""),"",I49/J49)</f>
        <v>0.105</v>
      </c>
      <c r="L49" s="14" t="n">
        <v>19</v>
      </c>
      <c r="M49" s="18" t="n">
        <v>2.1</v>
      </c>
      <c r="N49" s="14" t="n">
        <v>198</v>
      </c>
      <c r="O49" s="17" t="n">
        <f aca="false">IF(OR(N49="",G49=0),"",N49/G49)</f>
        <v>0.0757459831675593</v>
      </c>
      <c r="P49" s="19" t="n">
        <v>0.11</v>
      </c>
      <c r="Q49" s="20" t="n">
        <v>1.1</v>
      </c>
      <c r="R49" s="21" t="n">
        <v>46286</v>
      </c>
      <c r="S49" s="22" t="n">
        <f aca="false">IF(R49="","",'Como ler'!$B$27-R49)</f>
        <v>6</v>
      </c>
      <c r="T49" s="13" t="n">
        <v>0</v>
      </c>
      <c r="U49" s="13"/>
      <c r="V49" s="13" t="s">
        <v>45</v>
      </c>
      <c r="W49" s="13" t="s">
        <v>411</v>
      </c>
      <c r="X49" s="26" t="s">
        <v>129</v>
      </c>
      <c r="Y49" s="13" t="n">
        <f aca="false">ROUND(IF(K49="",0,MIN(40,40*K49/1.5))+IF(S49="",0,IF(S49&lt;=7,20,IF(S49&lt;=30,12,IF(S49&lt;=90,5,0))))+IF(Q49="",0,MIN(15,Q49*5))+IF(O49="",0,MIN(15,O49*30))+IF(E49="Criador(a)",10,IF(E49="Especialista que cria conteúdo",6,4)),0)</f>
        <v>37</v>
      </c>
      <c r="Z49" s="13" t="s">
        <v>95</v>
      </c>
      <c r="AA49" s="13"/>
      <c r="AB49" s="13"/>
      <c r="AC49" s="13"/>
      <c r="AD49" s="13" t="s">
        <v>151</v>
      </c>
      <c r="AE49" s="13" t="s">
        <v>412</v>
      </c>
      <c r="AF49" s="13" t="s">
        <v>413</v>
      </c>
      <c r="AG49" s="24" t="s">
        <v>414</v>
      </c>
      <c r="AH49" s="13" t="s">
        <v>100</v>
      </c>
      <c r="AI49" s="13"/>
    </row>
    <row r="50" customFormat="false" ht="15" hidden="false" customHeight="false" outlineLevel="0" collapsed="false">
      <c r="A50" s="13" t="s">
        <v>35</v>
      </c>
      <c r="B50" s="13"/>
      <c r="C50" s="13" t="s">
        <v>415</v>
      </c>
      <c r="D50" s="13" t="s">
        <v>416</v>
      </c>
      <c r="E50" s="13" t="s">
        <v>157</v>
      </c>
      <c r="F50" s="13" t="s">
        <v>29</v>
      </c>
      <c r="G50" s="14" t="n">
        <v>2377</v>
      </c>
      <c r="H50" s="13" t="s">
        <v>18</v>
      </c>
      <c r="I50" s="15" t="n">
        <v>0.0093</v>
      </c>
      <c r="J50" s="16" t="n">
        <f aca="false">IFERROR(INDEX('Como ler'!$B$20:$B$24,MATCH(H50,'Como ler'!$A$20:$A$24,0)),"")</f>
        <v>0.04</v>
      </c>
      <c r="K50" s="17" t="n">
        <f aca="false">IF(OR(I50="",J50=""),"",I50/J50)</f>
        <v>0.2325</v>
      </c>
      <c r="L50" s="14" t="n">
        <v>24</v>
      </c>
      <c r="M50" s="18" t="n">
        <v>2.6</v>
      </c>
      <c r="N50" s="14" t="n">
        <v>72</v>
      </c>
      <c r="O50" s="17" t="n">
        <f aca="false">IF(OR(N50="",G50=0),"",N50/G50)</f>
        <v>0.0302902818679007</v>
      </c>
      <c r="P50" s="19" t="n">
        <v>0.67</v>
      </c>
      <c r="Q50" s="20" t="n">
        <v>2.8</v>
      </c>
      <c r="R50" s="21" t="n">
        <v>46280</v>
      </c>
      <c r="S50" s="22" t="n">
        <f aca="false">IF(R50="","",'Como ler'!$B$27-R50)</f>
        <v>12</v>
      </c>
      <c r="T50" s="13" t="n">
        <v>0</v>
      </c>
      <c r="U50" s="13"/>
      <c r="V50" s="13" t="s">
        <v>52</v>
      </c>
      <c r="W50" s="13" t="s">
        <v>417</v>
      </c>
      <c r="X50" s="23" t="s">
        <v>94</v>
      </c>
      <c r="Y50" s="13" t="n">
        <f aca="false">ROUND(IF(K50="",0,MIN(40,40*K50/1.5))+IF(S50="",0,IF(S50&lt;=7,20,IF(S50&lt;=30,12,IF(S50&lt;=90,5,0))))+IF(Q50="",0,MIN(15,Q50*5))+IF(O50="",0,MIN(15,O50*30))+IF(E50="Criador(a)",10,IF(E50="Especialista que cria conteúdo",6,4)),0)</f>
        <v>39</v>
      </c>
      <c r="Z50" s="13"/>
      <c r="AA50" s="13"/>
      <c r="AB50" s="13" t="s">
        <v>113</v>
      </c>
      <c r="AC50" s="13"/>
      <c r="AD50" s="13" t="s">
        <v>115</v>
      </c>
      <c r="AE50" s="13" t="s">
        <v>418</v>
      </c>
      <c r="AF50" s="13" t="s">
        <v>419</v>
      </c>
      <c r="AG50" s="24" t="s">
        <v>420</v>
      </c>
      <c r="AH50" s="13" t="s">
        <v>100</v>
      </c>
      <c r="AI50" s="13"/>
    </row>
    <row r="51" customFormat="false" ht="15" hidden="false" customHeight="false" outlineLevel="0" collapsed="false">
      <c r="A51" s="13" t="s">
        <v>35</v>
      </c>
      <c r="B51" s="13"/>
      <c r="C51" s="13" t="s">
        <v>421</v>
      </c>
      <c r="D51" s="13" t="s">
        <v>422</v>
      </c>
      <c r="E51" s="13" t="s">
        <v>30</v>
      </c>
      <c r="F51" s="13" t="s">
        <v>28</v>
      </c>
      <c r="G51" s="14" t="n">
        <v>2266</v>
      </c>
      <c r="H51" s="13" t="s">
        <v>18</v>
      </c>
      <c r="I51" s="15" t="n">
        <v>0.0677</v>
      </c>
      <c r="J51" s="16" t="n">
        <f aca="false">IFERROR(INDEX('Como ler'!$B$20:$B$24,MATCH(H51,'Como ler'!$A$20:$A$24,0)),"")</f>
        <v>0.04</v>
      </c>
      <c r="K51" s="17" t="n">
        <f aca="false">IF(OR(I51="",J51=""),"",I51/J51)</f>
        <v>1.6925</v>
      </c>
      <c r="L51" s="14" t="n">
        <v>257</v>
      </c>
      <c r="M51" s="18" t="n">
        <v>10.2</v>
      </c>
      <c r="N51" s="14" t="n">
        <v>1874</v>
      </c>
      <c r="O51" s="17" t="n">
        <f aca="false">IF(OR(N51="",G51=0),"",N51/G51)</f>
        <v>0.827007943512798</v>
      </c>
      <c r="P51" s="19" t="n">
        <v>0.83</v>
      </c>
      <c r="Q51" s="20" t="n">
        <v>5.9</v>
      </c>
      <c r="R51" s="21" t="n">
        <v>46289</v>
      </c>
      <c r="S51" s="22" t="n">
        <f aca="false">IF(R51="","",'Como ler'!$B$27-R51)</f>
        <v>3</v>
      </c>
      <c r="T51" s="13" t="n">
        <v>0</v>
      </c>
      <c r="U51" s="13"/>
      <c r="V51" s="13" t="s">
        <v>42</v>
      </c>
      <c r="W51" s="13" t="s">
        <v>423</v>
      </c>
      <c r="X51" s="26" t="s">
        <v>129</v>
      </c>
      <c r="Y51" s="13" t="n">
        <f aca="false">ROUND(IF(K51="",0,MIN(40,40*K51/1.5))+IF(S51="",0,IF(S51&lt;=7,20,IF(S51&lt;=30,12,IF(S51&lt;=90,5,0))))+IF(Q51="",0,MIN(15,Q51*5))+IF(O51="",0,MIN(15,O51*30))+IF(E51="Criador(a)",10,IF(E51="Especialista que cria conteúdo",6,4)),0)</f>
        <v>100</v>
      </c>
      <c r="Z51" s="13"/>
      <c r="AA51" s="13"/>
      <c r="AB51" s="13"/>
      <c r="AC51" s="13"/>
      <c r="AD51" s="13" t="s">
        <v>232</v>
      </c>
      <c r="AE51" s="13" t="s">
        <v>424</v>
      </c>
      <c r="AF51" s="13" t="s">
        <v>425</v>
      </c>
      <c r="AG51" s="24" t="s">
        <v>426</v>
      </c>
      <c r="AH51" s="13" t="s">
        <v>100</v>
      </c>
      <c r="AI51" s="13"/>
    </row>
    <row r="52" customFormat="false" ht="15" hidden="false" customHeight="false" outlineLevel="0" collapsed="false">
      <c r="A52" s="13" t="s">
        <v>35</v>
      </c>
      <c r="B52" s="13"/>
      <c r="C52" s="13" t="s">
        <v>427</v>
      </c>
      <c r="D52" s="13" t="s">
        <v>428</v>
      </c>
      <c r="E52" s="13" t="s">
        <v>157</v>
      </c>
      <c r="F52" s="13" t="s">
        <v>29</v>
      </c>
      <c r="G52" s="14" t="n">
        <v>2203</v>
      </c>
      <c r="H52" s="13" t="s">
        <v>18</v>
      </c>
      <c r="I52" s="15" t="n">
        <v>0.0045</v>
      </c>
      <c r="J52" s="16" t="n">
        <f aca="false">IFERROR(INDEX('Como ler'!$B$20:$B$24,MATCH(H52,'Como ler'!$A$20:$A$24,0)),"")</f>
        <v>0.04</v>
      </c>
      <c r="K52" s="17" t="n">
        <f aca="false">IF(OR(I52="",J52=""),"",I52/J52)</f>
        <v>0.1125</v>
      </c>
      <c r="L52" s="14" t="n">
        <v>12</v>
      </c>
      <c r="M52" s="18" t="n">
        <v>1.4</v>
      </c>
      <c r="N52" s="14"/>
      <c r="O52" s="17" t="str">
        <f aca="false">IF(OR(N52="",G52=0),"",N52/G52)</f>
        <v/>
      </c>
      <c r="P52" s="19" t="n">
        <v>0</v>
      </c>
      <c r="Q52" s="20" t="n">
        <v>1.3</v>
      </c>
      <c r="R52" s="21" t="n">
        <v>46286</v>
      </c>
      <c r="S52" s="22" t="n">
        <f aca="false">IF(R52="","",'Como ler'!$B$27-R52)</f>
        <v>6</v>
      </c>
      <c r="T52" s="13" t="n">
        <v>0</v>
      </c>
      <c r="U52" s="13"/>
      <c r="V52" s="13" t="s">
        <v>45</v>
      </c>
      <c r="W52" s="13" t="s">
        <v>429</v>
      </c>
      <c r="X52" s="23" t="s">
        <v>94</v>
      </c>
      <c r="Y52" s="13" t="n">
        <f aca="false">ROUND(IF(K52="",0,MIN(40,40*K52/1.5))+IF(S52="",0,IF(S52&lt;=7,20,IF(S52&lt;=30,12,IF(S52&lt;=90,5,0))))+IF(Q52="",0,MIN(15,Q52*5))+IF(O52="",0,MIN(15,O52*30))+IF(E52="Criador(a)",10,IF(E52="Especialista que cria conteúdo",6,4)),0)</f>
        <v>36</v>
      </c>
      <c r="Z52" s="13" t="s">
        <v>430</v>
      </c>
      <c r="AA52" s="13"/>
      <c r="AB52" s="13" t="s">
        <v>113</v>
      </c>
      <c r="AC52" s="13"/>
      <c r="AD52" s="13" t="s">
        <v>296</v>
      </c>
      <c r="AE52" s="13" t="s">
        <v>431</v>
      </c>
      <c r="AF52" s="13" t="s">
        <v>432</v>
      </c>
      <c r="AG52" s="24" t="s">
        <v>433</v>
      </c>
      <c r="AH52" s="13" t="s">
        <v>100</v>
      </c>
      <c r="AI52" s="13"/>
    </row>
    <row r="53" customFormat="false" ht="15" hidden="false" customHeight="false" outlineLevel="0" collapsed="false">
      <c r="A53" s="13" t="s">
        <v>35</v>
      </c>
      <c r="B53" s="13" t="s">
        <v>36</v>
      </c>
      <c r="C53" s="13" t="s">
        <v>434</v>
      </c>
      <c r="D53" s="13" t="s">
        <v>435</v>
      </c>
      <c r="E53" s="13" t="s">
        <v>157</v>
      </c>
      <c r="F53" s="13" t="s">
        <v>29</v>
      </c>
      <c r="G53" s="14" t="n">
        <v>2109</v>
      </c>
      <c r="H53" s="13" t="s">
        <v>18</v>
      </c>
      <c r="I53" s="15" t="n">
        <v>0.0133</v>
      </c>
      <c r="J53" s="16" t="n">
        <f aca="false">IFERROR(INDEX('Como ler'!$B$20:$B$24,MATCH(H53,'Como ler'!$A$20:$A$24,0)),"")</f>
        <v>0.04</v>
      </c>
      <c r="K53" s="17" t="n">
        <f aca="false">IF(OR(I53="",J53=""),"",I53/J53)</f>
        <v>0.3325</v>
      </c>
      <c r="L53" s="14" t="n">
        <v>32</v>
      </c>
      <c r="M53" s="18" t="n">
        <v>2.8</v>
      </c>
      <c r="N53" s="14" t="n">
        <v>61</v>
      </c>
      <c r="O53" s="17" t="n">
        <f aca="false">IF(OR(N53="",G53=0),"",N53/G53)</f>
        <v>0.0289236605026079</v>
      </c>
      <c r="P53" s="19" t="n">
        <v>0.27</v>
      </c>
      <c r="Q53" s="20" t="n">
        <v>2.2</v>
      </c>
      <c r="R53" s="21" t="n">
        <v>46291</v>
      </c>
      <c r="S53" s="22" t="n">
        <f aca="false">IF(R53="","",'Como ler'!$B$27-R53)</f>
        <v>1</v>
      </c>
      <c r="T53" s="13" t="n">
        <v>0</v>
      </c>
      <c r="U53" s="13"/>
      <c r="V53" s="13" t="s">
        <v>52</v>
      </c>
      <c r="W53" s="13" t="s">
        <v>436</v>
      </c>
      <c r="X53" s="23" t="s">
        <v>94</v>
      </c>
      <c r="Y53" s="13" t="n">
        <f aca="false">ROUND(IF(K53="",0,MIN(40,40*K53/1.5))+IF(S53="",0,IF(S53&lt;=7,20,IF(S53&lt;=30,12,IF(S53&lt;=90,5,0))))+IF(Q53="",0,MIN(15,Q53*5))+IF(O53="",0,MIN(15,O53*30))+IF(E53="Criador(a)",10,IF(E53="Especialista que cria conteúdo",6,4)),0)</f>
        <v>47</v>
      </c>
      <c r="Z53" s="13"/>
      <c r="AA53" s="13"/>
      <c r="AB53" s="13" t="s">
        <v>113</v>
      </c>
      <c r="AC53" s="13"/>
      <c r="AD53" s="13" t="s">
        <v>387</v>
      </c>
      <c r="AE53" s="13" t="s">
        <v>437</v>
      </c>
      <c r="AF53" s="13" t="s">
        <v>438</v>
      </c>
      <c r="AG53" s="24" t="s">
        <v>439</v>
      </c>
      <c r="AH53" s="13" t="s">
        <v>100</v>
      </c>
      <c r="AI53" s="13"/>
    </row>
    <row r="54" customFormat="false" ht="15" hidden="false" customHeight="false" outlineLevel="0" collapsed="false">
      <c r="A54" s="13" t="s">
        <v>35</v>
      </c>
      <c r="B54" s="13"/>
      <c r="C54" s="13" t="s">
        <v>440</v>
      </c>
      <c r="D54" s="13" t="s">
        <v>441</v>
      </c>
      <c r="E54" s="13" t="s">
        <v>157</v>
      </c>
      <c r="F54" s="13" t="s">
        <v>28</v>
      </c>
      <c r="G54" s="14" t="n">
        <v>2074</v>
      </c>
      <c r="H54" s="13" t="s">
        <v>18</v>
      </c>
      <c r="I54" s="15" t="n">
        <v>0.0068</v>
      </c>
      <c r="J54" s="16" t="n">
        <f aca="false">IFERROR(INDEX('Como ler'!$B$20:$B$24,MATCH(H54,'Como ler'!$A$20:$A$24,0)),"")</f>
        <v>0.04</v>
      </c>
      <c r="K54" s="17" t="n">
        <f aca="false">IF(OR(I54="",J54=""),"",I54/J54)</f>
        <v>0.17</v>
      </c>
      <c r="L54" s="14" t="n">
        <v>12</v>
      </c>
      <c r="M54" s="18" t="n">
        <v>1.2</v>
      </c>
      <c r="N54" s="14" t="n">
        <v>4</v>
      </c>
      <c r="O54" s="17" t="n">
        <f aca="false">IF(OR(N54="",G54=0),"",N54/G54)</f>
        <v>0.00192864030858245</v>
      </c>
      <c r="P54" s="19" t="n">
        <v>0.11</v>
      </c>
      <c r="Q54" s="20" t="n">
        <v>0.5</v>
      </c>
      <c r="R54" s="21" t="n">
        <v>46288</v>
      </c>
      <c r="S54" s="22" t="n">
        <f aca="false">IF(R54="","",'Como ler'!$B$27-R54)</f>
        <v>4</v>
      </c>
      <c r="T54" s="13" t="n">
        <v>0</v>
      </c>
      <c r="U54" s="13"/>
      <c r="V54" s="13" t="s">
        <v>53</v>
      </c>
      <c r="W54" s="13" t="s">
        <v>442</v>
      </c>
      <c r="X54" s="26" t="s">
        <v>129</v>
      </c>
      <c r="Y54" s="13" t="n">
        <f aca="false">ROUND(IF(K54="",0,MIN(40,40*K54/1.5))+IF(S54="",0,IF(S54&lt;=7,20,IF(S54&lt;=30,12,IF(S54&lt;=90,5,0))))+IF(Q54="",0,MIN(15,Q54*5))+IF(O54="",0,MIN(15,O54*30))+IF(E54="Criador(a)",10,IF(E54="Especialista que cria conteúdo",6,4)),0)</f>
        <v>33</v>
      </c>
      <c r="Z54" s="13" t="s">
        <v>443</v>
      </c>
      <c r="AA54" s="13"/>
      <c r="AB54" s="13" t="s">
        <v>113</v>
      </c>
      <c r="AC54" s="13"/>
      <c r="AD54" s="13" t="s">
        <v>115</v>
      </c>
      <c r="AE54" s="13" t="s">
        <v>444</v>
      </c>
      <c r="AF54" s="13" t="s">
        <v>445</v>
      </c>
      <c r="AG54" s="24" t="s">
        <v>446</v>
      </c>
      <c r="AH54" s="13" t="s">
        <v>100</v>
      </c>
      <c r="AI54" s="13"/>
    </row>
    <row r="55" customFormat="false" ht="15" hidden="false" customHeight="false" outlineLevel="0" collapsed="false">
      <c r="A55" s="13" t="s">
        <v>35</v>
      </c>
      <c r="B55" s="13"/>
      <c r="C55" s="13" t="s">
        <v>447</v>
      </c>
      <c r="D55" s="13" t="s">
        <v>448</v>
      </c>
      <c r="E55" s="13" t="s">
        <v>157</v>
      </c>
      <c r="F55" s="13" t="s">
        <v>28</v>
      </c>
      <c r="G55" s="14" t="n">
        <v>2028</v>
      </c>
      <c r="H55" s="13" t="s">
        <v>18</v>
      </c>
      <c r="I55" s="15" t="n">
        <v>0.1706</v>
      </c>
      <c r="J55" s="16" t="n">
        <f aca="false">IFERROR(INDEX('Como ler'!$B$20:$B$24,MATCH(H55,'Como ler'!$A$20:$A$24,0)),"")</f>
        <v>0.04</v>
      </c>
      <c r="K55" s="17" t="n">
        <f aca="false">IF(OR(I55="",J55=""),"",I55/J55)</f>
        <v>4.265</v>
      </c>
      <c r="L55" s="14" t="n">
        <v>611</v>
      </c>
      <c r="M55" s="18" t="n">
        <v>23.3</v>
      </c>
      <c r="N55" s="14" t="n">
        <v>8807</v>
      </c>
      <c r="O55" s="17" t="n">
        <f aca="false">IF(OR(N55="",G55=0),"",N55/G55)</f>
        <v>4.34270216962525</v>
      </c>
      <c r="P55" s="19" t="n">
        <v>0.09</v>
      </c>
      <c r="Q55" s="20" t="n">
        <v>0.2</v>
      </c>
      <c r="R55" s="21" t="n">
        <v>46266</v>
      </c>
      <c r="S55" s="22" t="n">
        <f aca="false">IF(R55="","",'Como ler'!$B$27-R55)</f>
        <v>26</v>
      </c>
      <c r="T55" s="13" t="n">
        <v>0</v>
      </c>
      <c r="U55" s="13"/>
      <c r="V55" s="13" t="s">
        <v>53</v>
      </c>
      <c r="W55" s="13" t="s">
        <v>449</v>
      </c>
      <c r="X55" s="26" t="s">
        <v>129</v>
      </c>
      <c r="Y55" s="13" t="n">
        <f aca="false">ROUND(IF(K55="",0,MIN(40,40*K55/1.5))+IF(S55="",0,IF(S55&lt;=7,20,IF(S55&lt;=30,12,IF(S55&lt;=90,5,0))))+IF(Q55="",0,MIN(15,Q55*5))+IF(O55="",0,MIN(15,O55*30))+IF(E55="Criador(a)",10,IF(E55="Especialista que cria conteúdo",6,4)),0)</f>
        <v>74</v>
      </c>
      <c r="Z55" s="13"/>
      <c r="AA55" s="13"/>
      <c r="AB55" s="13" t="s">
        <v>113</v>
      </c>
      <c r="AC55" s="13"/>
      <c r="AD55" s="13" t="s">
        <v>122</v>
      </c>
      <c r="AE55" s="13" t="s">
        <v>450</v>
      </c>
      <c r="AF55" s="13" t="s">
        <v>451</v>
      </c>
      <c r="AG55" s="24" t="s">
        <v>452</v>
      </c>
      <c r="AH55" s="13" t="s">
        <v>100</v>
      </c>
      <c r="AI55" s="13"/>
    </row>
    <row r="56" customFormat="false" ht="15" hidden="false" customHeight="false" outlineLevel="0" collapsed="false">
      <c r="A56" s="13" t="s">
        <v>35</v>
      </c>
      <c r="B56" s="13"/>
      <c r="C56" s="13" t="s">
        <v>453</v>
      </c>
      <c r="D56" s="13" t="s">
        <v>454</v>
      </c>
      <c r="E56" s="13" t="s">
        <v>157</v>
      </c>
      <c r="F56" s="13" t="s">
        <v>28</v>
      </c>
      <c r="G56" s="14" t="n">
        <v>2025</v>
      </c>
      <c r="H56" s="13" t="s">
        <v>18</v>
      </c>
      <c r="I56" s="15"/>
      <c r="J56" s="16" t="n">
        <f aca="false">IFERROR(INDEX('Como ler'!$B$20:$B$24,MATCH(H56,'Como ler'!$A$20:$A$24,0)),"")</f>
        <v>0.04</v>
      </c>
      <c r="K56" s="17" t="str">
        <f aca="false">IF(OR(I56="",J56=""),"",I56/J56)</f>
        <v/>
      </c>
      <c r="L56" s="14"/>
      <c r="M56" s="18" t="n">
        <v>0</v>
      </c>
      <c r="N56" s="14"/>
      <c r="O56" s="17" t="str">
        <f aca="false">IF(OR(N56="",G56=0),"",N56/G56)</f>
        <v/>
      </c>
      <c r="P56" s="19" t="n">
        <v>0</v>
      </c>
      <c r="Q56" s="20" t="n">
        <v>3.1</v>
      </c>
      <c r="R56" s="21" t="n">
        <v>46288</v>
      </c>
      <c r="S56" s="22" t="n">
        <f aca="false">IF(R56="","",'Como ler'!$B$27-R56)</f>
        <v>4</v>
      </c>
      <c r="T56" s="13" t="n">
        <v>0</v>
      </c>
      <c r="U56" s="13"/>
      <c r="V56" s="13" t="s">
        <v>50</v>
      </c>
      <c r="W56" s="13" t="s">
        <v>455</v>
      </c>
      <c r="X56" s="23" t="s">
        <v>94</v>
      </c>
      <c r="Y56" s="13" t="n">
        <f aca="false">ROUND(IF(K56="",0,MIN(40,40*K56/1.5))+IF(S56="",0,IF(S56&lt;=7,20,IF(S56&lt;=30,12,IF(S56&lt;=90,5,0))))+IF(Q56="",0,MIN(15,Q56*5))+IF(O56="",0,MIN(15,O56*30))+IF(E56="Criador(a)",10,IF(E56="Especialista que cria conteúdo",6,4)),0)</f>
        <v>41</v>
      </c>
      <c r="Z56" s="13" t="s">
        <v>95</v>
      </c>
      <c r="AA56" s="13"/>
      <c r="AB56" s="13" t="s">
        <v>113</v>
      </c>
      <c r="AC56" s="13"/>
      <c r="AD56" s="13" t="s">
        <v>115</v>
      </c>
      <c r="AE56" s="13" t="s">
        <v>456</v>
      </c>
      <c r="AF56" s="13" t="s">
        <v>457</v>
      </c>
      <c r="AG56" s="24" t="s">
        <v>458</v>
      </c>
      <c r="AH56" s="13" t="s">
        <v>100</v>
      </c>
      <c r="AI56" s="13" t="s">
        <v>119</v>
      </c>
    </row>
    <row r="57" customFormat="false" ht="15" hidden="false" customHeight="false" outlineLevel="0" collapsed="false">
      <c r="A57" s="13" t="s">
        <v>35</v>
      </c>
      <c r="B57" s="13"/>
      <c r="C57" s="13" t="s">
        <v>459</v>
      </c>
      <c r="D57" s="13" t="s">
        <v>460</v>
      </c>
      <c r="E57" s="13" t="s">
        <v>30</v>
      </c>
      <c r="F57" s="13" t="s">
        <v>28</v>
      </c>
      <c r="G57" s="14" t="n">
        <v>1693</v>
      </c>
      <c r="H57" s="13" t="s">
        <v>18</v>
      </c>
      <c r="I57" s="15" t="n">
        <v>0.031</v>
      </c>
      <c r="J57" s="16" t="n">
        <f aca="false">IFERROR(INDEX('Como ler'!$B$20:$B$24,MATCH(H57,'Como ler'!$A$20:$A$24,0)),"")</f>
        <v>0.04</v>
      </c>
      <c r="K57" s="17" t="n">
        <f aca="false">IF(OR(I57="",J57=""),"",I57/J57)</f>
        <v>0.775</v>
      </c>
      <c r="L57" s="14" t="n">
        <v>129</v>
      </c>
      <c r="M57" s="18" t="n">
        <v>7.3</v>
      </c>
      <c r="N57" s="14" t="n">
        <v>622</v>
      </c>
      <c r="O57" s="17" t="n">
        <f aca="false">IF(OR(N57="",G57=0),"",N57/G57)</f>
        <v>0.367395156526875</v>
      </c>
      <c r="P57" s="19" t="n">
        <v>0.83</v>
      </c>
      <c r="Q57" s="20" t="n">
        <v>0.6</v>
      </c>
      <c r="R57" s="21" t="n">
        <v>46279</v>
      </c>
      <c r="S57" s="22" t="n">
        <f aca="false">IF(R57="","",'Como ler'!$B$27-R57)</f>
        <v>13</v>
      </c>
      <c r="T57" s="13" t="n">
        <v>0</v>
      </c>
      <c r="U57" s="13"/>
      <c r="V57" s="13" t="s">
        <v>53</v>
      </c>
      <c r="W57" s="13" t="s">
        <v>53</v>
      </c>
      <c r="X57" s="26" t="s">
        <v>129</v>
      </c>
      <c r="Y57" s="13" t="n">
        <f aca="false">ROUND(IF(K57="",0,MIN(40,40*K57/1.5))+IF(S57="",0,IF(S57&lt;=7,20,IF(S57&lt;=30,12,IF(S57&lt;=90,5,0))))+IF(Q57="",0,MIN(15,Q57*5))+IF(O57="",0,MIN(15,O57*30))+IF(E57="Criador(a)",10,IF(E57="Especialista que cria conteúdo",6,4)),0)</f>
        <v>57</v>
      </c>
      <c r="Z57" s="13" t="s">
        <v>289</v>
      </c>
      <c r="AA57" s="13"/>
      <c r="AB57" s="13"/>
      <c r="AC57" s="13"/>
      <c r="AD57" s="13" t="s">
        <v>290</v>
      </c>
      <c r="AE57" s="13" t="s">
        <v>461</v>
      </c>
      <c r="AF57" s="13" t="s">
        <v>462</v>
      </c>
      <c r="AG57" s="24" t="s">
        <v>463</v>
      </c>
      <c r="AH57" s="13" t="s">
        <v>100</v>
      </c>
      <c r="AI57" s="13"/>
    </row>
    <row r="58" customFormat="false" ht="15" hidden="false" customHeight="false" outlineLevel="0" collapsed="false">
      <c r="A58" s="13" t="s">
        <v>35</v>
      </c>
      <c r="B58" s="13"/>
      <c r="C58" s="13" t="s">
        <v>464</v>
      </c>
      <c r="D58" s="13" t="s">
        <v>465</v>
      </c>
      <c r="E58" s="13" t="s">
        <v>30</v>
      </c>
      <c r="F58" s="13" t="s">
        <v>29</v>
      </c>
      <c r="G58" s="14" t="n">
        <v>1399</v>
      </c>
      <c r="H58" s="13" t="s">
        <v>18</v>
      </c>
      <c r="I58" s="15" t="n">
        <v>0.0172</v>
      </c>
      <c r="J58" s="16" t="n">
        <f aca="false">IFERROR(INDEX('Como ler'!$B$20:$B$24,MATCH(H58,'Como ler'!$A$20:$A$24,0)),"")</f>
        <v>0.04</v>
      </c>
      <c r="K58" s="17" t="n">
        <f aca="false">IF(OR(I58="",J58=""),"",I58/J58)</f>
        <v>0.43</v>
      </c>
      <c r="L58" s="14" t="n">
        <v>24269</v>
      </c>
      <c r="M58" s="18" t="n">
        <v>136.3</v>
      </c>
      <c r="N58" s="14" t="n">
        <v>718</v>
      </c>
      <c r="O58" s="17" t="n">
        <f aca="false">IF(OR(N58="",G58=0),"",N58/G58)</f>
        <v>0.513223731236598</v>
      </c>
      <c r="P58" s="19" t="n">
        <v>0.83</v>
      </c>
      <c r="Q58" s="20" t="n">
        <v>0.5</v>
      </c>
      <c r="R58" s="21" t="n">
        <v>46292</v>
      </c>
      <c r="S58" s="22" t="n">
        <f aca="false">IF(R58="","",'Como ler'!$B$27-R58)</f>
        <v>0</v>
      </c>
      <c r="T58" s="13" t="n">
        <v>0</v>
      </c>
      <c r="U58" s="13"/>
      <c r="V58" s="13" t="s">
        <v>54</v>
      </c>
      <c r="W58" s="13" t="s">
        <v>54</v>
      </c>
      <c r="X58" s="25" t="s">
        <v>104</v>
      </c>
      <c r="Y58" s="13" t="n">
        <f aca="false">ROUND(IF(K58="",0,MIN(40,40*K58/1.5))+IF(S58="",0,IF(S58&lt;=7,20,IF(S58&lt;=30,12,IF(S58&lt;=90,5,0))))+IF(Q58="",0,MIN(15,Q58*5))+IF(O58="",0,MIN(15,O58*30))+IF(E58="Criador(a)",10,IF(E58="Especialista que cria conteúdo",6,4)),0)</f>
        <v>59</v>
      </c>
      <c r="Z58" s="13"/>
      <c r="AA58" s="13"/>
      <c r="AB58" s="13" t="s">
        <v>113</v>
      </c>
      <c r="AC58" s="13" t="s">
        <v>181</v>
      </c>
      <c r="AD58" s="13" t="s">
        <v>466</v>
      </c>
      <c r="AE58" s="13" t="s">
        <v>467</v>
      </c>
      <c r="AF58" s="13" t="s">
        <v>468</v>
      </c>
      <c r="AG58" s="24" t="s">
        <v>469</v>
      </c>
      <c r="AH58" s="13" t="s">
        <v>100</v>
      </c>
      <c r="AI58" s="13"/>
    </row>
    <row r="59" customFormat="false" ht="15" hidden="false" customHeight="false" outlineLevel="0" collapsed="false">
      <c r="A59" s="13" t="s">
        <v>35</v>
      </c>
      <c r="B59" s="13"/>
      <c r="C59" s="13" t="s">
        <v>470</v>
      </c>
      <c r="D59" s="13" t="s">
        <v>471</v>
      </c>
      <c r="E59" s="13" t="s">
        <v>157</v>
      </c>
      <c r="F59" s="13" t="s">
        <v>28</v>
      </c>
      <c r="G59" s="14" t="n">
        <v>1347</v>
      </c>
      <c r="H59" s="13" t="s">
        <v>18</v>
      </c>
      <c r="I59" s="15" t="n">
        <v>0.0475</v>
      </c>
      <c r="J59" s="16" t="n">
        <f aca="false">IFERROR(INDEX('Como ler'!$B$20:$B$24,MATCH(H59,'Como ler'!$A$20:$A$24,0)),"")</f>
        <v>0.04</v>
      </c>
      <c r="K59" s="17" t="n">
        <f aca="false">IF(OR(I59="",J59=""),"",I59/J59)</f>
        <v>1.1875</v>
      </c>
      <c r="L59" s="14" t="n">
        <v>52</v>
      </c>
      <c r="M59" s="18" t="n">
        <v>26.4</v>
      </c>
      <c r="N59" s="14" t="n">
        <v>187</v>
      </c>
      <c r="O59" s="17" t="n">
        <f aca="false">IF(OR(N59="",G59=0),"",N59/G59)</f>
        <v>0.138827023014105</v>
      </c>
      <c r="P59" s="19" t="n">
        <v>0.64</v>
      </c>
      <c r="Q59" s="20" t="n">
        <v>1.3</v>
      </c>
      <c r="R59" s="21" t="n">
        <v>46287</v>
      </c>
      <c r="S59" s="22" t="n">
        <f aca="false">IF(R59="","",'Como ler'!$B$27-R59)</f>
        <v>5</v>
      </c>
      <c r="T59" s="13" t="n">
        <v>0</v>
      </c>
      <c r="U59" s="13"/>
      <c r="V59" s="13" t="s">
        <v>56</v>
      </c>
      <c r="W59" s="13" t="s">
        <v>472</v>
      </c>
      <c r="X59" s="23" t="s">
        <v>94</v>
      </c>
      <c r="Y59" s="13" t="n">
        <f aca="false">ROUND(IF(K59="",0,MIN(40,40*K59/1.5))+IF(S59="",0,IF(S59&lt;=7,20,IF(S59&lt;=30,12,IF(S59&lt;=90,5,0))))+IF(Q59="",0,MIN(15,Q59*5))+IF(O59="",0,MIN(15,O59*30))+IF(E59="Criador(a)",10,IF(E59="Especialista que cria conteúdo",6,4)),0)</f>
        <v>68</v>
      </c>
      <c r="Z59" s="13"/>
      <c r="AA59" s="13"/>
      <c r="AB59" s="13"/>
      <c r="AC59" s="13"/>
      <c r="AD59" s="13" t="s">
        <v>115</v>
      </c>
      <c r="AE59" s="13" t="s">
        <v>473</v>
      </c>
      <c r="AF59" s="13" t="s">
        <v>474</v>
      </c>
      <c r="AG59" s="24" t="s">
        <v>475</v>
      </c>
      <c r="AH59" s="13" t="s">
        <v>100</v>
      </c>
      <c r="AI59" s="13"/>
    </row>
    <row r="60" customFormat="false" ht="15" hidden="false" customHeight="false" outlineLevel="0" collapsed="false">
      <c r="A60" s="13" t="s">
        <v>36</v>
      </c>
      <c r="B60" s="13"/>
      <c r="C60" s="13" t="s">
        <v>476</v>
      </c>
      <c r="D60" s="13" t="s">
        <v>477</v>
      </c>
      <c r="E60" s="13" t="s">
        <v>30</v>
      </c>
      <c r="F60" s="13" t="s">
        <v>28</v>
      </c>
      <c r="G60" s="14" t="n">
        <v>1589475</v>
      </c>
      <c r="H60" s="13" t="s">
        <v>22</v>
      </c>
      <c r="I60" s="15" t="n">
        <v>0.0168</v>
      </c>
      <c r="J60" s="16" t="n">
        <f aca="false">IFERROR(INDEX('Como ler'!$B$20:$B$24,MATCH(H60,'Como ler'!$A$20:$A$24,0)),"")</f>
        <v>0.007</v>
      </c>
      <c r="K60" s="17" t="n">
        <f aca="false">IF(OR(I60="",J60=""),"",I60/J60)</f>
        <v>2.4</v>
      </c>
      <c r="L60" s="14" t="n">
        <v>29876</v>
      </c>
      <c r="M60" s="18" t="n">
        <v>142.6</v>
      </c>
      <c r="N60" s="14" t="n">
        <v>252204</v>
      </c>
      <c r="O60" s="17" t="n">
        <f aca="false">IF(OR(N60="",G60=0),"",N60/G60)</f>
        <v>0.158671259378097</v>
      </c>
      <c r="P60" s="19" t="n">
        <v>0.5</v>
      </c>
      <c r="Q60" s="20" t="n">
        <v>1.3</v>
      </c>
      <c r="R60" s="21" t="n">
        <v>46289</v>
      </c>
      <c r="S60" s="22" t="n">
        <f aca="false">IF(R60="","",'Como ler'!$B$27-R60)</f>
        <v>3</v>
      </c>
      <c r="T60" s="13" t="n">
        <v>0</v>
      </c>
      <c r="U60" s="13"/>
      <c r="V60" s="13" t="s">
        <v>53</v>
      </c>
      <c r="W60" s="13" t="s">
        <v>53</v>
      </c>
      <c r="X60" s="26" t="s">
        <v>129</v>
      </c>
      <c r="Y60" s="13" t="n">
        <f aca="false">ROUND(IF(K60="",0,MIN(40,40*K60/1.5))+IF(S60="",0,IF(S60&lt;=7,20,IF(S60&lt;=30,12,IF(S60&lt;=90,5,0))))+IF(Q60="",0,MIN(15,Q60*5))+IF(O60="",0,MIN(15,O60*30))+IF(E60="Criador(a)",10,IF(E60="Especialista que cria conteúdo",6,4)),0)</f>
        <v>81</v>
      </c>
      <c r="Z60" s="13"/>
      <c r="AA60" s="13" t="s">
        <v>113</v>
      </c>
      <c r="AB60" s="13"/>
      <c r="AC60" s="13" t="s">
        <v>181</v>
      </c>
      <c r="AD60" s="13" t="s">
        <v>478</v>
      </c>
      <c r="AE60" s="13" t="s">
        <v>479</v>
      </c>
      <c r="AF60" s="13" t="s">
        <v>480</v>
      </c>
      <c r="AG60" s="24" t="s">
        <v>481</v>
      </c>
      <c r="AH60" s="13" t="s">
        <v>100</v>
      </c>
      <c r="AI60" s="13"/>
    </row>
    <row r="61" customFormat="false" ht="15" hidden="false" customHeight="false" outlineLevel="0" collapsed="false">
      <c r="A61" s="13" t="s">
        <v>36</v>
      </c>
      <c r="B61" s="13" t="s">
        <v>38</v>
      </c>
      <c r="C61" s="13" t="s">
        <v>482</v>
      </c>
      <c r="D61" s="13" t="s">
        <v>483</v>
      </c>
      <c r="E61" s="13" t="s">
        <v>200</v>
      </c>
      <c r="F61" s="13" t="s">
        <v>484</v>
      </c>
      <c r="G61" s="14" t="n">
        <v>540119</v>
      </c>
      <c r="H61" s="13" t="s">
        <v>22</v>
      </c>
      <c r="I61" s="15" t="n">
        <v>0.0042</v>
      </c>
      <c r="J61" s="16" t="n">
        <f aca="false">IFERROR(INDEX('Como ler'!$B$20:$B$24,MATCH(H61,'Como ler'!$A$20:$A$24,0)),"")</f>
        <v>0.007</v>
      </c>
      <c r="K61" s="17" t="n">
        <f aca="false">IF(OR(I61="",J61=""),"",I61/J61)</f>
        <v>0.6</v>
      </c>
      <c r="L61" s="14" t="n">
        <v>3129</v>
      </c>
      <c r="M61" s="18" t="n">
        <v>70.8</v>
      </c>
      <c r="N61" s="14" t="n">
        <v>53460</v>
      </c>
      <c r="O61" s="17" t="n">
        <f aca="false">IF(OR(N61="",G61=0),"",N61/G61)</f>
        <v>0.098978188140021</v>
      </c>
      <c r="P61" s="19" t="n">
        <v>1</v>
      </c>
      <c r="Q61" s="20" t="n">
        <v>5.5</v>
      </c>
      <c r="R61" s="21" t="n">
        <v>46292</v>
      </c>
      <c r="S61" s="22" t="n">
        <f aca="false">IF(R61="","",'Como ler'!$B$27-R61)</f>
        <v>0</v>
      </c>
      <c r="T61" s="13" t="n">
        <v>0</v>
      </c>
      <c r="U61" s="13"/>
      <c r="V61" s="13" t="s">
        <v>46</v>
      </c>
      <c r="W61" s="13" t="s">
        <v>485</v>
      </c>
      <c r="X61" s="25" t="s">
        <v>104</v>
      </c>
      <c r="Y61" s="13" t="n">
        <f aca="false">ROUND(IF(K61="",0,MIN(40,40*K61/1.5))+IF(S61="",0,IF(S61&lt;=7,20,IF(S61&lt;=30,12,IF(S61&lt;=90,5,0))))+IF(Q61="",0,MIN(15,Q61*5))+IF(O61="",0,MIN(15,O61*30))+IF(E61="Criador(a)",10,IF(E61="Especialista que cria conteúdo",6,4)),0)</f>
        <v>58</v>
      </c>
      <c r="Z61" s="13" t="s">
        <v>105</v>
      </c>
      <c r="AA61" s="13"/>
      <c r="AB61" s="13"/>
      <c r="AC61" s="13" t="s">
        <v>130</v>
      </c>
      <c r="AD61" s="13" t="s">
        <v>486</v>
      </c>
      <c r="AE61" s="13" t="s">
        <v>487</v>
      </c>
      <c r="AF61" s="13" t="s">
        <v>488</v>
      </c>
      <c r="AG61" s="24" t="s">
        <v>489</v>
      </c>
      <c r="AH61" s="13" t="s">
        <v>100</v>
      </c>
      <c r="AI61" s="13"/>
    </row>
    <row r="62" customFormat="false" ht="15" hidden="false" customHeight="false" outlineLevel="0" collapsed="false">
      <c r="A62" s="13" t="s">
        <v>36</v>
      </c>
      <c r="B62" s="13"/>
      <c r="C62" s="13" t="s">
        <v>490</v>
      </c>
      <c r="D62" s="13" t="s">
        <v>491</v>
      </c>
      <c r="E62" s="13" t="s">
        <v>30</v>
      </c>
      <c r="F62" s="13" t="s">
        <v>28</v>
      </c>
      <c r="G62" s="14" t="n">
        <v>251019</v>
      </c>
      <c r="H62" s="13" t="s">
        <v>21</v>
      </c>
      <c r="I62" s="15" t="n">
        <v>0.0016</v>
      </c>
      <c r="J62" s="16" t="n">
        <f aca="false">IFERROR(INDEX('Como ler'!$B$20:$B$24,MATCH(H62,'Como ler'!$A$20:$A$24,0)),"")</f>
        <v>0.01</v>
      </c>
      <c r="K62" s="17" t="n">
        <f aca="false">IF(OR(I62="",J62=""),"",I62/J62)</f>
        <v>0.16</v>
      </c>
      <c r="L62" s="14" t="n">
        <v>329</v>
      </c>
      <c r="M62" s="18" t="n">
        <v>109</v>
      </c>
      <c r="N62" s="14" t="n">
        <v>2422</v>
      </c>
      <c r="O62" s="17" t="n">
        <f aca="false">IF(OR(N62="",G62=0),"",N62/G62)</f>
        <v>0.00964867201287552</v>
      </c>
      <c r="P62" s="19" t="n">
        <v>0.91</v>
      </c>
      <c r="Q62" s="20" t="n">
        <v>11.7</v>
      </c>
      <c r="R62" s="21" t="n">
        <v>46292</v>
      </c>
      <c r="S62" s="22" t="n">
        <f aca="false">IF(R62="","",'Como ler'!$B$27-R62)</f>
        <v>0</v>
      </c>
      <c r="T62" s="13" t="n">
        <v>0</v>
      </c>
      <c r="U62" s="13"/>
      <c r="V62" s="13" t="s">
        <v>43</v>
      </c>
      <c r="W62" s="13" t="s">
        <v>492</v>
      </c>
      <c r="X62" s="23" t="s">
        <v>94</v>
      </c>
      <c r="Y62" s="13" t="n">
        <f aca="false">ROUND(IF(K62="",0,MIN(40,40*K62/1.5))+IF(S62="",0,IF(S62&lt;=7,20,IF(S62&lt;=30,12,IF(S62&lt;=90,5,0))))+IF(Q62="",0,MIN(15,Q62*5))+IF(O62="",0,MIN(15,O62*30))+IF(E62="Criador(a)",10,IF(E62="Especialista que cria conteúdo",6,4)),0)</f>
        <v>50</v>
      </c>
      <c r="Z62" s="13" t="s">
        <v>105</v>
      </c>
      <c r="AA62" s="13" t="s">
        <v>113</v>
      </c>
      <c r="AB62" s="13" t="s">
        <v>113</v>
      </c>
      <c r="AC62" s="13"/>
      <c r="AD62" s="13" t="s">
        <v>493</v>
      </c>
      <c r="AE62" s="13" t="s">
        <v>494</v>
      </c>
      <c r="AF62" s="13" t="s">
        <v>495</v>
      </c>
      <c r="AG62" s="24" t="s">
        <v>496</v>
      </c>
      <c r="AH62" s="13" t="s">
        <v>100</v>
      </c>
      <c r="AI62" s="13"/>
    </row>
    <row r="63" customFormat="false" ht="15" hidden="false" customHeight="false" outlineLevel="0" collapsed="false">
      <c r="A63" s="13" t="s">
        <v>36</v>
      </c>
      <c r="B63" s="13"/>
      <c r="C63" s="13" t="s">
        <v>497</v>
      </c>
      <c r="D63" s="13" t="s">
        <v>498</v>
      </c>
      <c r="E63" s="13" t="s">
        <v>200</v>
      </c>
      <c r="F63" s="13" t="s">
        <v>201</v>
      </c>
      <c r="G63" s="14" t="n">
        <v>212079</v>
      </c>
      <c r="H63" s="13" t="s">
        <v>21</v>
      </c>
      <c r="I63" s="15" t="n">
        <v>0.0032</v>
      </c>
      <c r="J63" s="16" t="n">
        <f aca="false">IFERROR(INDEX('Como ler'!$B$20:$B$24,MATCH(H63,'Como ler'!$A$20:$A$24,0)),"")</f>
        <v>0.01</v>
      </c>
      <c r="K63" s="17" t="n">
        <f aca="false">IF(OR(I63="",J63=""),"",I63/J63)</f>
        <v>0.32</v>
      </c>
      <c r="L63" s="14" t="n">
        <v>1106</v>
      </c>
      <c r="M63" s="18" t="n">
        <v>54.3</v>
      </c>
      <c r="N63" s="14" t="n">
        <v>18950</v>
      </c>
      <c r="O63" s="17" t="n">
        <f aca="false">IF(OR(N63="",G63=0),"",N63/G63)</f>
        <v>0.0893534956313449</v>
      </c>
      <c r="P63" s="19" t="n">
        <v>1</v>
      </c>
      <c r="Q63" s="20" t="n">
        <v>0.6</v>
      </c>
      <c r="R63" s="21" t="n">
        <v>46075</v>
      </c>
      <c r="S63" s="22" t="n">
        <f aca="false">IF(R63="","",'Como ler'!$B$27-R63)</f>
        <v>217</v>
      </c>
      <c r="T63" s="13" t="n">
        <v>0</v>
      </c>
      <c r="U63" s="13"/>
      <c r="V63" s="13" t="s">
        <v>57</v>
      </c>
      <c r="W63" s="13" t="s">
        <v>57</v>
      </c>
      <c r="X63" s="25" t="s">
        <v>104</v>
      </c>
      <c r="Y63" s="13" t="n">
        <f aca="false">ROUND(IF(K63="",0,MIN(40,40*K63/1.5))+IF(S63="",0,IF(S63&lt;=7,20,IF(S63&lt;=30,12,IF(S63&lt;=90,5,0))))+IF(Q63="",0,MIN(15,Q63*5))+IF(O63="",0,MIN(15,O63*30))+IF(E63="Criador(a)",10,IF(E63="Especialista que cria conteúdo",6,4)),0)</f>
        <v>18</v>
      </c>
      <c r="Z63" s="13" t="s">
        <v>159</v>
      </c>
      <c r="AA63" s="13"/>
      <c r="AB63" s="13"/>
      <c r="AC63" s="13"/>
      <c r="AD63" s="13" t="s">
        <v>499</v>
      </c>
      <c r="AE63" s="13" t="s">
        <v>500</v>
      </c>
      <c r="AF63" s="13"/>
      <c r="AG63" s="24" t="s">
        <v>501</v>
      </c>
      <c r="AH63" s="13" t="s">
        <v>100</v>
      </c>
      <c r="AI63" s="13"/>
    </row>
    <row r="64" customFormat="false" ht="15" hidden="false" customHeight="false" outlineLevel="0" collapsed="false">
      <c r="A64" s="13" t="s">
        <v>36</v>
      </c>
      <c r="B64" s="13" t="s">
        <v>37</v>
      </c>
      <c r="C64" s="13" t="s">
        <v>502</v>
      </c>
      <c r="D64" s="13" t="s">
        <v>503</v>
      </c>
      <c r="E64" s="13" t="s">
        <v>200</v>
      </c>
      <c r="F64" s="13" t="s">
        <v>201</v>
      </c>
      <c r="G64" s="14" t="n">
        <v>169872</v>
      </c>
      <c r="H64" s="13" t="s">
        <v>21</v>
      </c>
      <c r="I64" s="15" t="n">
        <v>0.0013</v>
      </c>
      <c r="J64" s="16" t="n">
        <f aca="false">IFERROR(INDEX('Como ler'!$B$20:$B$24,MATCH(H64,'Como ler'!$A$20:$A$24,0)),"")</f>
        <v>0.01</v>
      </c>
      <c r="K64" s="17" t="n">
        <f aca="false">IF(OR(I64="",J64=""),"",I64/J64)</f>
        <v>0.13</v>
      </c>
      <c r="L64" s="14" t="n">
        <v>494</v>
      </c>
      <c r="M64" s="18" t="n">
        <v>14.4</v>
      </c>
      <c r="N64" s="14" t="n">
        <v>1136</v>
      </c>
      <c r="O64" s="17" t="n">
        <f aca="false">IF(OR(N64="",G64=0),"",N64/G64)</f>
        <v>0.00668738815107846</v>
      </c>
      <c r="P64" s="19" t="n">
        <v>1</v>
      </c>
      <c r="Q64" s="20" t="n">
        <v>15.4</v>
      </c>
      <c r="R64" s="21" t="n">
        <v>46291</v>
      </c>
      <c r="S64" s="22" t="n">
        <f aca="false">IF(R64="","",'Como ler'!$B$27-R64)</f>
        <v>1</v>
      </c>
      <c r="T64" s="13" t="n">
        <v>0</v>
      </c>
      <c r="U64" s="13"/>
      <c r="V64" s="13" t="s">
        <v>57</v>
      </c>
      <c r="W64" s="13" t="s">
        <v>57</v>
      </c>
      <c r="X64" s="25" t="s">
        <v>104</v>
      </c>
      <c r="Y64" s="13" t="n">
        <f aca="false">ROUND(IF(K64="",0,MIN(40,40*K64/1.5))+IF(S64="",0,IF(S64&lt;=7,20,IF(S64&lt;=30,12,IF(S64&lt;=90,5,0))))+IF(Q64="",0,MIN(15,Q64*5))+IF(O64="",0,MIN(15,O64*30))+IF(E64="Criador(a)",10,IF(E64="Especialista que cria conteúdo",6,4)),0)</f>
        <v>43</v>
      </c>
      <c r="Z64" s="13" t="s">
        <v>105</v>
      </c>
      <c r="AA64" s="13"/>
      <c r="AB64" s="13"/>
      <c r="AC64" s="13" t="s">
        <v>130</v>
      </c>
      <c r="AD64" s="13" t="s">
        <v>504</v>
      </c>
      <c r="AE64" s="13" t="s">
        <v>505</v>
      </c>
      <c r="AF64" s="13" t="s">
        <v>506</v>
      </c>
      <c r="AG64" s="24" t="s">
        <v>507</v>
      </c>
      <c r="AH64" s="13" t="s">
        <v>100</v>
      </c>
      <c r="AI64" s="13"/>
    </row>
    <row r="65" customFormat="false" ht="15" hidden="false" customHeight="false" outlineLevel="0" collapsed="false">
      <c r="A65" s="13" t="s">
        <v>36</v>
      </c>
      <c r="B65" s="13"/>
      <c r="C65" s="13" t="s">
        <v>508</v>
      </c>
      <c r="D65" s="13" t="s">
        <v>509</v>
      </c>
      <c r="E65" s="13" t="s">
        <v>200</v>
      </c>
      <c r="F65" s="13" t="s">
        <v>201</v>
      </c>
      <c r="G65" s="14" t="n">
        <v>166537</v>
      </c>
      <c r="H65" s="13" t="s">
        <v>21</v>
      </c>
      <c r="I65" s="15" t="n">
        <v>0.0021</v>
      </c>
      <c r="J65" s="16" t="n">
        <f aca="false">IFERROR(INDEX('Como ler'!$B$20:$B$24,MATCH(H65,'Como ler'!$A$20:$A$24,0)),"")</f>
        <v>0.01</v>
      </c>
      <c r="K65" s="17" t="n">
        <f aca="false">IF(OR(I65="",J65=""),"",I65/J65)</f>
        <v>0.21</v>
      </c>
      <c r="L65" s="14" t="n">
        <v>596</v>
      </c>
      <c r="M65" s="18" t="n">
        <v>93.5</v>
      </c>
      <c r="N65" s="14" t="n">
        <v>14105</v>
      </c>
      <c r="O65" s="17" t="n">
        <f aca="false">IF(OR(N65="",G65=0),"",N65/G65)</f>
        <v>0.0846958934050691</v>
      </c>
      <c r="P65" s="19" t="n">
        <v>1</v>
      </c>
      <c r="Q65" s="20" t="n">
        <v>24.5</v>
      </c>
      <c r="R65" s="21" t="n">
        <v>46108</v>
      </c>
      <c r="S65" s="22" t="n">
        <f aca="false">IF(R65="","",'Como ler'!$B$27-R65)</f>
        <v>184</v>
      </c>
      <c r="T65" s="13" t="n">
        <v>0</v>
      </c>
      <c r="U65" s="13"/>
      <c r="V65" s="13" t="s">
        <v>57</v>
      </c>
      <c r="W65" s="13" t="s">
        <v>57</v>
      </c>
      <c r="X65" s="25" t="s">
        <v>104</v>
      </c>
      <c r="Y65" s="13" t="n">
        <f aca="false">ROUND(IF(K65="",0,MIN(40,40*K65/1.5))+IF(S65="",0,IF(S65&lt;=7,20,IF(S65&lt;=30,12,IF(S65&lt;=90,5,0))))+IF(Q65="",0,MIN(15,Q65*5))+IF(O65="",0,MIN(15,O65*30))+IF(E65="Criador(a)",10,IF(E65="Especialista que cria conteúdo",6,4)),0)</f>
        <v>27</v>
      </c>
      <c r="Z65" s="13" t="s">
        <v>105</v>
      </c>
      <c r="AA65" s="13"/>
      <c r="AB65" s="13"/>
      <c r="AC65" s="13" t="s">
        <v>130</v>
      </c>
      <c r="AD65" s="13" t="s">
        <v>510</v>
      </c>
      <c r="AE65" s="13" t="s">
        <v>511</v>
      </c>
      <c r="AF65" s="13" t="s">
        <v>512</v>
      </c>
      <c r="AG65" s="24" t="s">
        <v>513</v>
      </c>
      <c r="AH65" s="13" t="s">
        <v>100</v>
      </c>
      <c r="AI65" s="13"/>
    </row>
    <row r="66" customFormat="false" ht="15" hidden="false" customHeight="false" outlineLevel="0" collapsed="false">
      <c r="A66" s="13" t="s">
        <v>36</v>
      </c>
      <c r="B66" s="13" t="s">
        <v>38</v>
      </c>
      <c r="C66" s="13" t="s">
        <v>514</v>
      </c>
      <c r="D66" s="13" t="s">
        <v>515</v>
      </c>
      <c r="E66" s="13" t="s">
        <v>30</v>
      </c>
      <c r="F66" s="13" t="s">
        <v>28</v>
      </c>
      <c r="G66" s="14" t="n">
        <v>164287</v>
      </c>
      <c r="H66" s="13" t="s">
        <v>21</v>
      </c>
      <c r="I66" s="15" t="n">
        <v>0.0003</v>
      </c>
      <c r="J66" s="16" t="n">
        <f aca="false">IFERROR(INDEX('Como ler'!$B$20:$B$24,MATCH(H66,'Como ler'!$A$20:$A$24,0)),"")</f>
        <v>0.01</v>
      </c>
      <c r="K66" s="17" t="n">
        <f aca="false">IF(OR(I66="",J66=""),"",I66/J66)</f>
        <v>0.03</v>
      </c>
      <c r="L66" s="14" t="n">
        <v>49</v>
      </c>
      <c r="M66" s="18" t="n">
        <v>5.4</v>
      </c>
      <c r="N66" s="14" t="n">
        <v>530</v>
      </c>
      <c r="O66" s="17" t="n">
        <f aca="false">IF(OR(N66="",G66=0),"",N66/G66)</f>
        <v>0.00322606170908228</v>
      </c>
      <c r="P66" s="19" t="n">
        <v>0.5</v>
      </c>
      <c r="Q66" s="20" t="n">
        <v>19.2</v>
      </c>
      <c r="R66" s="21" t="n">
        <v>46292</v>
      </c>
      <c r="S66" s="22" t="n">
        <f aca="false">IF(R66="","",'Como ler'!$B$27-R66)</f>
        <v>0</v>
      </c>
      <c r="T66" s="13" t="n">
        <v>0</v>
      </c>
      <c r="U66" s="13"/>
      <c r="V66" s="13" t="s">
        <v>42</v>
      </c>
      <c r="W66" s="13" t="s">
        <v>516</v>
      </c>
      <c r="X66" s="26" t="s">
        <v>129</v>
      </c>
      <c r="Y66" s="13" t="n">
        <f aca="false">ROUND(IF(K66="",0,MIN(40,40*K66/1.5))+IF(S66="",0,IF(S66&lt;=7,20,IF(S66&lt;=30,12,IF(S66&lt;=90,5,0))))+IF(Q66="",0,MIN(15,Q66*5))+IF(O66="",0,MIN(15,O66*30))+IF(E66="Criador(a)",10,IF(E66="Especialista que cria conteúdo",6,4)),0)</f>
        <v>46</v>
      </c>
      <c r="Z66" s="13" t="s">
        <v>105</v>
      </c>
      <c r="AA66" s="13" t="s">
        <v>113</v>
      </c>
      <c r="AB66" s="13" t="s">
        <v>113</v>
      </c>
      <c r="AC66" s="13" t="s">
        <v>181</v>
      </c>
      <c r="AD66" s="13" t="s">
        <v>517</v>
      </c>
      <c r="AE66" s="13" t="s">
        <v>518</v>
      </c>
      <c r="AF66" s="13" t="s">
        <v>519</v>
      </c>
      <c r="AG66" s="24" t="s">
        <v>520</v>
      </c>
      <c r="AH66" s="13" t="s">
        <v>100</v>
      </c>
      <c r="AI66" s="13"/>
    </row>
    <row r="67" customFormat="false" ht="15" hidden="false" customHeight="false" outlineLevel="0" collapsed="false">
      <c r="A67" s="13" t="s">
        <v>36</v>
      </c>
      <c r="B67" s="13"/>
      <c r="C67" s="13" t="s">
        <v>521</v>
      </c>
      <c r="D67" s="13" t="s">
        <v>522</v>
      </c>
      <c r="E67" s="13" t="s">
        <v>30</v>
      </c>
      <c r="F67" s="13" t="s">
        <v>28</v>
      </c>
      <c r="G67" s="14" t="n">
        <v>128899</v>
      </c>
      <c r="H67" s="13" t="s">
        <v>21</v>
      </c>
      <c r="I67" s="15" t="n">
        <v>0.0187</v>
      </c>
      <c r="J67" s="16" t="n">
        <f aca="false">IFERROR(INDEX('Como ler'!$B$20:$B$24,MATCH(H67,'Como ler'!$A$20:$A$24,0)),"")</f>
        <v>0.01</v>
      </c>
      <c r="K67" s="17" t="n">
        <f aca="false">IF(OR(I67="",J67=""),"",I67/J67)</f>
        <v>1.87</v>
      </c>
      <c r="L67" s="14" t="n">
        <v>6264</v>
      </c>
      <c r="M67" s="18" t="n">
        <v>34.1</v>
      </c>
      <c r="N67" s="14" t="n">
        <v>8514</v>
      </c>
      <c r="O67" s="17" t="n">
        <f aca="false">IF(OR(N67="",G67=0),"",N67/G67)</f>
        <v>0.0660517149085718</v>
      </c>
      <c r="P67" s="19" t="n">
        <v>0.56</v>
      </c>
      <c r="Q67" s="20" t="n">
        <v>18.7</v>
      </c>
      <c r="R67" s="21" t="n">
        <v>46291</v>
      </c>
      <c r="S67" s="22" t="n">
        <f aca="false">IF(R67="","",'Como ler'!$B$27-R67)</f>
        <v>1</v>
      </c>
      <c r="T67" s="13" t="n">
        <v>0</v>
      </c>
      <c r="U67" s="13"/>
      <c r="V67" s="13" t="s">
        <v>42</v>
      </c>
      <c r="W67" s="13" t="s">
        <v>42</v>
      </c>
      <c r="X67" s="26" t="s">
        <v>129</v>
      </c>
      <c r="Y67" s="13" t="n">
        <f aca="false">ROUND(IF(K67="",0,MIN(40,40*K67/1.5))+IF(S67="",0,IF(S67&lt;=7,20,IF(S67&lt;=30,12,IF(S67&lt;=90,5,0))))+IF(Q67="",0,MIN(15,Q67*5))+IF(O67="",0,MIN(15,O67*30))+IF(E67="Criador(a)",10,IF(E67="Especialista que cria conteúdo",6,4)),0)</f>
        <v>87</v>
      </c>
      <c r="Z67" s="13" t="s">
        <v>105</v>
      </c>
      <c r="AA67" s="13"/>
      <c r="AB67" s="13" t="s">
        <v>113</v>
      </c>
      <c r="AC67" s="13"/>
      <c r="AD67" s="13" t="s">
        <v>523</v>
      </c>
      <c r="AE67" s="13" t="s">
        <v>524</v>
      </c>
      <c r="AF67" s="13" t="s">
        <v>525</v>
      </c>
      <c r="AG67" s="24" t="s">
        <v>526</v>
      </c>
      <c r="AH67" s="13" t="s">
        <v>100</v>
      </c>
      <c r="AI67" s="13"/>
    </row>
    <row r="68" customFormat="false" ht="15" hidden="false" customHeight="false" outlineLevel="0" collapsed="false">
      <c r="A68" s="13" t="s">
        <v>36</v>
      </c>
      <c r="B68" s="13" t="s">
        <v>35</v>
      </c>
      <c r="C68" s="13" t="s">
        <v>527</v>
      </c>
      <c r="D68" s="13" t="s">
        <v>528</v>
      </c>
      <c r="E68" s="13" t="s">
        <v>30</v>
      </c>
      <c r="F68" s="13" t="s">
        <v>28</v>
      </c>
      <c r="G68" s="14" t="n">
        <v>119845</v>
      </c>
      <c r="H68" s="13" t="s">
        <v>21</v>
      </c>
      <c r="I68" s="15" t="n">
        <v>0.0038</v>
      </c>
      <c r="J68" s="16" t="n">
        <f aca="false">IFERROR(INDEX('Como ler'!$B$20:$B$24,MATCH(H68,'Como ler'!$A$20:$A$24,0)),"")</f>
        <v>0.01</v>
      </c>
      <c r="K68" s="17" t="n">
        <f aca="false">IF(OR(I68="",J68=""),"",I68/J68)</f>
        <v>0.38</v>
      </c>
      <c r="L68" s="14" t="n">
        <v>489</v>
      </c>
      <c r="M68" s="18" t="n">
        <v>24.9</v>
      </c>
      <c r="N68" s="14" t="n">
        <v>9245</v>
      </c>
      <c r="O68" s="17" t="n">
        <f aca="false">IF(OR(N68="",G68=0),"",N68/G68)</f>
        <v>0.0771413075222162</v>
      </c>
      <c r="P68" s="19" t="n">
        <v>0.75</v>
      </c>
      <c r="Q68" s="20" t="n">
        <v>1.6</v>
      </c>
      <c r="R68" s="21" t="n">
        <v>46289</v>
      </c>
      <c r="S68" s="22" t="n">
        <f aca="false">IF(R68="","",'Como ler'!$B$27-R68)</f>
        <v>3</v>
      </c>
      <c r="T68" s="13" t="n">
        <v>0</v>
      </c>
      <c r="U68" s="13"/>
      <c r="V68" s="13" t="s">
        <v>46</v>
      </c>
      <c r="W68" s="13" t="s">
        <v>529</v>
      </c>
      <c r="X68" s="25" t="s">
        <v>104</v>
      </c>
      <c r="Y68" s="13" t="n">
        <f aca="false">ROUND(IF(K68="",0,MIN(40,40*K68/1.5))+IF(S68="",0,IF(S68&lt;=7,20,IF(S68&lt;=30,12,IF(S68&lt;=90,5,0))))+IF(Q68="",0,MIN(15,Q68*5))+IF(O68="",0,MIN(15,O68*30))+IF(E68="Criador(a)",10,IF(E68="Especialista que cria conteúdo",6,4)),0)</f>
        <v>50</v>
      </c>
      <c r="Z68" s="13"/>
      <c r="AA68" s="13" t="s">
        <v>113</v>
      </c>
      <c r="AB68" s="13" t="s">
        <v>113</v>
      </c>
      <c r="AC68" s="13" t="s">
        <v>130</v>
      </c>
      <c r="AD68" s="13" t="s">
        <v>530</v>
      </c>
      <c r="AE68" s="13" t="s">
        <v>531</v>
      </c>
      <c r="AF68" s="13" t="s">
        <v>532</v>
      </c>
      <c r="AG68" s="24" t="s">
        <v>533</v>
      </c>
      <c r="AH68" s="13" t="s">
        <v>100</v>
      </c>
      <c r="AI68" s="13"/>
    </row>
    <row r="69" customFormat="false" ht="15" hidden="false" customHeight="false" outlineLevel="0" collapsed="false">
      <c r="A69" s="13" t="s">
        <v>36</v>
      </c>
      <c r="B69" s="13"/>
      <c r="C69" s="13" t="s">
        <v>534</v>
      </c>
      <c r="D69" s="13" t="s">
        <v>535</v>
      </c>
      <c r="E69" s="13" t="s">
        <v>200</v>
      </c>
      <c r="F69" s="13" t="s">
        <v>201</v>
      </c>
      <c r="G69" s="14" t="n">
        <v>110843</v>
      </c>
      <c r="H69" s="13" t="s">
        <v>21</v>
      </c>
      <c r="I69" s="15" t="n">
        <v>0.0005</v>
      </c>
      <c r="J69" s="16" t="n">
        <f aca="false">IFERROR(INDEX('Como ler'!$B$20:$B$24,MATCH(H69,'Como ler'!$A$20:$A$24,0)),"")</f>
        <v>0.01</v>
      </c>
      <c r="K69" s="17" t="n">
        <f aca="false">IF(OR(I69="",J69=""),"",I69/J69)</f>
        <v>0.05</v>
      </c>
      <c r="L69" s="14" t="n">
        <v>761</v>
      </c>
      <c r="M69" s="18" t="n">
        <v>17.8</v>
      </c>
      <c r="N69" s="14" t="n">
        <v>2944</v>
      </c>
      <c r="O69" s="17" t="n">
        <f aca="false">IF(OR(N69="",G69=0),"",N69/G69)</f>
        <v>0.0265600894959537</v>
      </c>
      <c r="P69" s="19" t="n">
        <v>0.7</v>
      </c>
      <c r="Q69" s="20" t="n">
        <v>0.4</v>
      </c>
      <c r="R69" s="21" t="n">
        <v>46292</v>
      </c>
      <c r="S69" s="22" t="n">
        <f aca="false">IF(R69="","",'Como ler'!$B$27-R69)</f>
        <v>0</v>
      </c>
      <c r="T69" s="13" t="n">
        <v>0</v>
      </c>
      <c r="U69" s="13"/>
      <c r="V69" s="13" t="s">
        <v>57</v>
      </c>
      <c r="W69" s="13" t="s">
        <v>536</v>
      </c>
      <c r="X69" s="25" t="s">
        <v>104</v>
      </c>
      <c r="Y69" s="13" t="n">
        <f aca="false">ROUND(IF(K69="",0,MIN(40,40*K69/1.5))+IF(S69="",0,IF(S69&lt;=7,20,IF(S69&lt;=30,12,IF(S69&lt;=90,5,0))))+IF(Q69="",0,MIN(15,Q69*5))+IF(O69="",0,MIN(15,O69*30))+IF(E69="Criador(a)",10,IF(E69="Especialista que cria conteúdo",6,4)),0)</f>
        <v>28</v>
      </c>
      <c r="Z69" s="13" t="s">
        <v>105</v>
      </c>
      <c r="AA69" s="13" t="s">
        <v>113</v>
      </c>
      <c r="AB69" s="13" t="s">
        <v>113</v>
      </c>
      <c r="AC69" s="13"/>
      <c r="AD69" s="13" t="s">
        <v>510</v>
      </c>
      <c r="AE69" s="13" t="s">
        <v>537</v>
      </c>
      <c r="AF69" s="13" t="s">
        <v>538</v>
      </c>
      <c r="AG69" s="24" t="s">
        <v>539</v>
      </c>
      <c r="AH69" s="13" t="s">
        <v>100</v>
      </c>
      <c r="AI69" s="13"/>
    </row>
    <row r="70" customFormat="false" ht="15" hidden="false" customHeight="false" outlineLevel="0" collapsed="false">
      <c r="A70" s="13" t="s">
        <v>36</v>
      </c>
      <c r="B70" s="13" t="s">
        <v>35</v>
      </c>
      <c r="C70" s="13" t="s">
        <v>540</v>
      </c>
      <c r="D70" s="13" t="s">
        <v>541</v>
      </c>
      <c r="E70" s="13" t="s">
        <v>30</v>
      </c>
      <c r="F70" s="13" t="s">
        <v>28</v>
      </c>
      <c r="G70" s="14" t="n">
        <v>96473</v>
      </c>
      <c r="H70" s="13" t="s">
        <v>20</v>
      </c>
      <c r="I70" s="15" t="n">
        <v>0.0045</v>
      </c>
      <c r="J70" s="16" t="n">
        <f aca="false">IFERROR(INDEX('Como ler'!$B$20:$B$24,MATCH(H70,'Como ler'!$A$20:$A$24,0)),"")</f>
        <v>0.015</v>
      </c>
      <c r="K70" s="17" t="n">
        <f aca="false">IF(OR(I70="",J70=""),"",I70/J70)</f>
        <v>0.3</v>
      </c>
      <c r="L70" s="14" t="n">
        <v>574</v>
      </c>
      <c r="M70" s="18" t="n">
        <v>23.2</v>
      </c>
      <c r="N70" s="14" t="n">
        <v>6330</v>
      </c>
      <c r="O70" s="17" t="n">
        <f aca="false">IF(OR(N70="",G70=0),"",N70/G70)</f>
        <v>0.065614213303204</v>
      </c>
      <c r="P70" s="19" t="n">
        <v>1</v>
      </c>
      <c r="Q70" s="20" t="n">
        <v>5.1</v>
      </c>
      <c r="R70" s="21" t="n">
        <v>46291</v>
      </c>
      <c r="S70" s="22" t="n">
        <f aca="false">IF(R70="","",'Como ler'!$B$27-R70)</f>
        <v>1</v>
      </c>
      <c r="T70" s="13" t="n">
        <v>3</v>
      </c>
      <c r="U70" s="13" t="s">
        <v>542</v>
      </c>
      <c r="V70" s="13" t="s">
        <v>46</v>
      </c>
      <c r="W70" s="13" t="s">
        <v>543</v>
      </c>
      <c r="X70" s="23" t="s">
        <v>94</v>
      </c>
      <c r="Y70" s="13" t="n">
        <f aca="false">ROUND(IF(K70="",0,MIN(40,40*K70/1.5))+IF(S70="",0,IF(S70&lt;=7,20,IF(S70&lt;=30,12,IF(S70&lt;=90,5,0))))+IF(Q70="",0,MIN(15,Q70*5))+IF(O70="",0,MIN(15,O70*30))+IF(E70="Criador(a)",10,IF(E70="Especialista que cria conteúdo",6,4)),0)</f>
        <v>55</v>
      </c>
      <c r="Z70" s="13"/>
      <c r="AA70" s="13" t="s">
        <v>113</v>
      </c>
      <c r="AB70" s="13"/>
      <c r="AC70" s="13"/>
      <c r="AD70" s="13" t="s">
        <v>544</v>
      </c>
      <c r="AE70" s="13" t="s">
        <v>545</v>
      </c>
      <c r="AF70" s="13" t="s">
        <v>546</v>
      </c>
      <c r="AG70" s="24" t="s">
        <v>547</v>
      </c>
      <c r="AH70" s="13" t="s">
        <v>100</v>
      </c>
      <c r="AI70" s="13"/>
    </row>
    <row r="71" customFormat="false" ht="15" hidden="false" customHeight="false" outlineLevel="0" collapsed="false">
      <c r="A71" s="13" t="s">
        <v>36</v>
      </c>
      <c r="B71" s="13" t="s">
        <v>35</v>
      </c>
      <c r="C71" s="13" t="s">
        <v>548</v>
      </c>
      <c r="D71" s="13" t="s">
        <v>549</v>
      </c>
      <c r="E71" s="13" t="s">
        <v>30</v>
      </c>
      <c r="F71" s="13" t="s">
        <v>28</v>
      </c>
      <c r="G71" s="14" t="n">
        <v>91438</v>
      </c>
      <c r="H71" s="13" t="s">
        <v>20</v>
      </c>
      <c r="I71" s="15" t="n">
        <v>0.0013</v>
      </c>
      <c r="J71" s="16" t="n">
        <f aca="false">IFERROR(INDEX('Como ler'!$B$20:$B$24,MATCH(H71,'Como ler'!$A$20:$A$24,0)),"")</f>
        <v>0.015</v>
      </c>
      <c r="K71" s="17" t="n">
        <f aca="false">IF(OR(I71="",J71=""),"",I71/J71)</f>
        <v>0.0866666666666667</v>
      </c>
      <c r="L71" s="14" t="n">
        <v>190</v>
      </c>
      <c r="M71" s="18" t="n">
        <v>22.2</v>
      </c>
      <c r="N71" s="14" t="n">
        <v>1811</v>
      </c>
      <c r="O71" s="17" t="n">
        <f aca="false">IF(OR(N71="",G71=0),"",N71/G71)</f>
        <v>0.0198057700299657</v>
      </c>
      <c r="P71" s="19" t="n">
        <v>0.45</v>
      </c>
      <c r="Q71" s="20" t="n">
        <v>3.2</v>
      </c>
      <c r="R71" s="21" t="n">
        <v>46291</v>
      </c>
      <c r="S71" s="22" t="n">
        <f aca="false">IF(R71="","",'Como ler'!$B$27-R71)</f>
        <v>1</v>
      </c>
      <c r="T71" s="13" t="n">
        <v>0</v>
      </c>
      <c r="U71" s="13"/>
      <c r="V71" s="13" t="s">
        <v>46</v>
      </c>
      <c r="W71" s="13" t="s">
        <v>550</v>
      </c>
      <c r="X71" s="23" t="s">
        <v>94</v>
      </c>
      <c r="Y71" s="13" t="n">
        <f aca="false">ROUND(IF(K71="",0,MIN(40,40*K71/1.5))+IF(S71="",0,IF(S71&lt;=7,20,IF(S71&lt;=30,12,IF(S71&lt;=90,5,0))))+IF(Q71="",0,MIN(15,Q71*5))+IF(O71="",0,MIN(15,O71*30))+IF(E71="Criador(a)",10,IF(E71="Especialista que cria conteúdo",6,4)),0)</f>
        <v>48</v>
      </c>
      <c r="Z71" s="13"/>
      <c r="AA71" s="13" t="s">
        <v>113</v>
      </c>
      <c r="AB71" s="13"/>
      <c r="AC71" s="13"/>
      <c r="AD71" s="13" t="s">
        <v>551</v>
      </c>
      <c r="AE71" s="13" t="s">
        <v>552</v>
      </c>
      <c r="AF71" s="13" t="s">
        <v>553</v>
      </c>
      <c r="AG71" s="24" t="s">
        <v>554</v>
      </c>
      <c r="AH71" s="13" t="s">
        <v>100</v>
      </c>
      <c r="AI71" s="13"/>
    </row>
    <row r="72" customFormat="false" ht="15" hidden="false" customHeight="false" outlineLevel="0" collapsed="false">
      <c r="A72" s="13" t="s">
        <v>36</v>
      </c>
      <c r="B72" s="13"/>
      <c r="C72" s="13" t="s">
        <v>555</v>
      </c>
      <c r="D72" s="13" t="s">
        <v>556</v>
      </c>
      <c r="E72" s="13" t="s">
        <v>30</v>
      </c>
      <c r="F72" s="13" t="s">
        <v>28</v>
      </c>
      <c r="G72" s="14" t="n">
        <v>86311</v>
      </c>
      <c r="H72" s="13" t="s">
        <v>20</v>
      </c>
      <c r="I72" s="15" t="n">
        <v>0.0013</v>
      </c>
      <c r="J72" s="16" t="n">
        <f aca="false">IFERROR(INDEX('Como ler'!$B$20:$B$24,MATCH(H72,'Como ler'!$A$20:$A$24,0)),"")</f>
        <v>0.015</v>
      </c>
      <c r="K72" s="17" t="n">
        <f aca="false">IF(OR(I72="",J72=""),"",I72/J72)</f>
        <v>0.0866666666666667</v>
      </c>
      <c r="L72" s="14" t="n">
        <v>110</v>
      </c>
      <c r="M72" s="18" t="n">
        <v>5.7</v>
      </c>
      <c r="N72" s="14" t="n">
        <v>1998</v>
      </c>
      <c r="O72" s="17" t="n">
        <f aca="false">IF(OR(N72="",G72=0),"",N72/G72)</f>
        <v>0.0231488454542295</v>
      </c>
      <c r="P72" s="19" t="n">
        <v>0.78</v>
      </c>
      <c r="Q72" s="20" t="n">
        <v>11.2</v>
      </c>
      <c r="R72" s="21" t="n">
        <v>46292</v>
      </c>
      <c r="S72" s="22" t="n">
        <f aca="false">IF(R72="","",'Como ler'!$B$27-R72)</f>
        <v>0</v>
      </c>
      <c r="T72" s="13" t="n">
        <v>1</v>
      </c>
      <c r="U72" s="13" t="s">
        <v>557</v>
      </c>
      <c r="V72" s="13" t="s">
        <v>42</v>
      </c>
      <c r="W72" s="13" t="s">
        <v>42</v>
      </c>
      <c r="X72" s="26" t="s">
        <v>129</v>
      </c>
      <c r="Y72" s="13" t="n">
        <f aca="false">ROUND(IF(K72="",0,MIN(40,40*K72/1.5))+IF(S72="",0,IF(S72&lt;=7,20,IF(S72&lt;=30,12,IF(S72&lt;=90,5,0))))+IF(Q72="",0,MIN(15,Q72*5))+IF(O72="",0,MIN(15,O72*30))+IF(E72="Criador(a)",10,IF(E72="Especialista que cria conteúdo",6,4)),0)</f>
        <v>48</v>
      </c>
      <c r="Z72" s="13"/>
      <c r="AA72" s="13"/>
      <c r="AB72" s="13" t="s">
        <v>113</v>
      </c>
      <c r="AC72" s="13" t="s">
        <v>181</v>
      </c>
      <c r="AD72" s="13" t="s">
        <v>558</v>
      </c>
      <c r="AE72" s="13" t="s">
        <v>559</v>
      </c>
      <c r="AF72" s="13" t="s">
        <v>560</v>
      </c>
      <c r="AG72" s="24" t="s">
        <v>561</v>
      </c>
      <c r="AH72" s="13" t="s">
        <v>100</v>
      </c>
      <c r="AI72" s="13"/>
    </row>
    <row r="73" customFormat="false" ht="15" hidden="false" customHeight="false" outlineLevel="0" collapsed="false">
      <c r="A73" s="13" t="s">
        <v>36</v>
      </c>
      <c r="B73" s="13"/>
      <c r="C73" s="13" t="s">
        <v>562</v>
      </c>
      <c r="D73" s="13" t="s">
        <v>563</v>
      </c>
      <c r="E73" s="13" t="s">
        <v>30</v>
      </c>
      <c r="F73" s="13" t="s">
        <v>28</v>
      </c>
      <c r="G73" s="14" t="n">
        <v>69246</v>
      </c>
      <c r="H73" s="13" t="s">
        <v>20</v>
      </c>
      <c r="I73" s="15" t="n">
        <v>0.0014</v>
      </c>
      <c r="J73" s="16" t="n">
        <f aca="false">IFERROR(INDEX('Como ler'!$B$20:$B$24,MATCH(H73,'Como ler'!$A$20:$A$24,0)),"")</f>
        <v>0.015</v>
      </c>
      <c r="K73" s="17" t="n">
        <f aca="false">IF(OR(I73="",J73=""),"",I73/J73)</f>
        <v>0.0933333333333333</v>
      </c>
      <c r="L73" s="14" t="n">
        <v>818</v>
      </c>
      <c r="M73" s="18" t="n">
        <v>19</v>
      </c>
      <c r="N73" s="14" t="n">
        <v>899</v>
      </c>
      <c r="O73" s="17" t="n">
        <f aca="false">IF(OR(N73="",G73=0),"",N73/G73)</f>
        <v>0.012982699361696</v>
      </c>
      <c r="P73" s="19" t="n">
        <v>0.56</v>
      </c>
      <c r="Q73" s="20" t="n">
        <v>2.7</v>
      </c>
      <c r="R73" s="21" t="n">
        <v>46292</v>
      </c>
      <c r="S73" s="22" t="n">
        <f aca="false">IF(R73="","",'Como ler'!$B$27-R73)</f>
        <v>0</v>
      </c>
      <c r="T73" s="13" t="n">
        <v>0</v>
      </c>
      <c r="U73" s="13"/>
      <c r="V73" s="13" t="s">
        <v>45</v>
      </c>
      <c r="W73" s="13" t="s">
        <v>564</v>
      </c>
      <c r="X73" s="26" t="s">
        <v>129</v>
      </c>
      <c r="Y73" s="13" t="n">
        <f aca="false">ROUND(IF(K73="",0,MIN(40,40*K73/1.5))+IF(S73="",0,IF(S73&lt;=7,20,IF(S73&lt;=30,12,IF(S73&lt;=90,5,0))))+IF(Q73="",0,MIN(15,Q73*5))+IF(O73="",0,MIN(15,O73*30))+IF(E73="Criador(a)",10,IF(E73="Especialista que cria conteúdo",6,4)),0)</f>
        <v>46</v>
      </c>
      <c r="Z73" s="13" t="s">
        <v>105</v>
      </c>
      <c r="AA73" s="13"/>
      <c r="AB73" s="13"/>
      <c r="AC73" s="13"/>
      <c r="AD73" s="13" t="s">
        <v>565</v>
      </c>
      <c r="AE73" s="13" t="s">
        <v>566</v>
      </c>
      <c r="AF73" s="13" t="s">
        <v>567</v>
      </c>
      <c r="AG73" s="24" t="s">
        <v>568</v>
      </c>
      <c r="AH73" s="13" t="s">
        <v>100</v>
      </c>
      <c r="AI73" s="13"/>
    </row>
    <row r="74" customFormat="false" ht="15" hidden="false" customHeight="false" outlineLevel="0" collapsed="false">
      <c r="A74" s="13" t="s">
        <v>36</v>
      </c>
      <c r="B74" s="13"/>
      <c r="C74" s="13" t="s">
        <v>569</v>
      </c>
      <c r="D74" s="13" t="s">
        <v>570</v>
      </c>
      <c r="E74" s="13" t="s">
        <v>200</v>
      </c>
      <c r="F74" s="13" t="s">
        <v>201</v>
      </c>
      <c r="G74" s="14" t="n">
        <v>60353</v>
      </c>
      <c r="H74" s="13" t="s">
        <v>20</v>
      </c>
      <c r="I74" s="15" t="n">
        <v>0.0081</v>
      </c>
      <c r="J74" s="16" t="n">
        <f aca="false">IFERROR(INDEX('Como ler'!$B$20:$B$24,MATCH(H74,'Como ler'!$A$20:$A$24,0)),"")</f>
        <v>0.015</v>
      </c>
      <c r="K74" s="17" t="n">
        <f aca="false">IF(OR(I74="",J74=""),"",I74/J74)</f>
        <v>0.54</v>
      </c>
      <c r="L74" s="14" t="n">
        <v>552</v>
      </c>
      <c r="M74" s="18" t="n">
        <v>29.7</v>
      </c>
      <c r="N74" s="14" t="n">
        <v>13208</v>
      </c>
      <c r="O74" s="17" t="n">
        <f aca="false">IF(OR(N74="",G74=0),"",N74/G74)</f>
        <v>0.218845790598645</v>
      </c>
      <c r="P74" s="19" t="n">
        <v>1</v>
      </c>
      <c r="Q74" s="20" t="n">
        <v>0.3</v>
      </c>
      <c r="R74" s="21" t="n">
        <v>45722</v>
      </c>
      <c r="S74" s="22" t="n">
        <f aca="false">IF(R74="","",'Como ler'!$B$27-R74)</f>
        <v>570</v>
      </c>
      <c r="T74" s="13" t="n">
        <v>0</v>
      </c>
      <c r="U74" s="13"/>
      <c r="V74" s="13" t="s">
        <v>46</v>
      </c>
      <c r="W74" s="13" t="s">
        <v>529</v>
      </c>
      <c r="X74" s="25" t="s">
        <v>104</v>
      </c>
      <c r="Y74" s="13" t="n">
        <f aca="false">ROUND(IF(K74="",0,MIN(40,40*K74/1.5))+IF(S74="",0,IF(S74&lt;=7,20,IF(S74&lt;=30,12,IF(S74&lt;=90,5,0))))+IF(Q74="",0,MIN(15,Q74*5))+IF(O74="",0,MIN(15,O74*30))+IF(E74="Criador(a)",10,IF(E74="Especialista que cria conteúdo",6,4)),0)</f>
        <v>26</v>
      </c>
      <c r="Z74" s="13" t="s">
        <v>105</v>
      </c>
      <c r="AA74" s="13"/>
      <c r="AB74" s="13"/>
      <c r="AC74" s="13" t="s">
        <v>114</v>
      </c>
      <c r="AD74" s="13" t="s">
        <v>571</v>
      </c>
      <c r="AE74" s="13" t="s">
        <v>572</v>
      </c>
      <c r="AF74" s="13" t="s">
        <v>573</v>
      </c>
      <c r="AG74" s="24" t="s">
        <v>574</v>
      </c>
      <c r="AH74" s="13" t="s">
        <v>100</v>
      </c>
      <c r="AI74" s="13"/>
    </row>
    <row r="75" customFormat="false" ht="15" hidden="false" customHeight="false" outlineLevel="0" collapsed="false">
      <c r="A75" s="13" t="s">
        <v>36</v>
      </c>
      <c r="B75" s="13"/>
      <c r="C75" s="13" t="s">
        <v>575</v>
      </c>
      <c r="D75" s="13" t="s">
        <v>576</v>
      </c>
      <c r="E75" s="13" t="s">
        <v>30</v>
      </c>
      <c r="F75" s="13" t="s">
        <v>28</v>
      </c>
      <c r="G75" s="14" t="n">
        <v>57917</v>
      </c>
      <c r="H75" s="13" t="s">
        <v>20</v>
      </c>
      <c r="I75" s="15" t="n">
        <v>0.0033</v>
      </c>
      <c r="J75" s="16" t="n">
        <f aca="false">IFERROR(INDEX('Como ler'!$B$20:$B$24,MATCH(H75,'Como ler'!$A$20:$A$24,0)),"")</f>
        <v>0.015</v>
      </c>
      <c r="K75" s="17" t="n">
        <f aca="false">IF(OR(I75="",J75=""),"",I75/J75)</f>
        <v>0.22</v>
      </c>
      <c r="L75" s="14" t="n">
        <v>1435</v>
      </c>
      <c r="M75" s="18" t="n">
        <v>29.2</v>
      </c>
      <c r="N75" s="14" t="n">
        <v>4004</v>
      </c>
      <c r="O75" s="17" t="n">
        <f aca="false">IF(OR(N75="",G75=0),"",N75/G75)</f>
        <v>0.0691334150594817</v>
      </c>
      <c r="P75" s="19" t="n">
        <v>0.67</v>
      </c>
      <c r="Q75" s="20" t="n">
        <v>3</v>
      </c>
      <c r="R75" s="21" t="n">
        <v>46292</v>
      </c>
      <c r="S75" s="22" t="n">
        <f aca="false">IF(R75="","",'Como ler'!$B$27-R75)</f>
        <v>0</v>
      </c>
      <c r="T75" s="13" t="n">
        <v>0</v>
      </c>
      <c r="U75" s="13"/>
      <c r="V75" s="13" t="s">
        <v>44</v>
      </c>
      <c r="W75" s="13" t="s">
        <v>577</v>
      </c>
      <c r="X75" s="23" t="s">
        <v>94</v>
      </c>
      <c r="Y75" s="13" t="n">
        <f aca="false">ROUND(IF(K75="",0,MIN(40,40*K75/1.5))+IF(S75="",0,IF(S75&lt;=7,20,IF(S75&lt;=30,12,IF(S75&lt;=90,5,0))))+IF(Q75="",0,MIN(15,Q75*5))+IF(O75="",0,MIN(15,O75*30))+IF(E75="Criador(a)",10,IF(E75="Especialista que cria conteúdo",6,4)),0)</f>
        <v>53</v>
      </c>
      <c r="Z75" s="13"/>
      <c r="AA75" s="13" t="s">
        <v>113</v>
      </c>
      <c r="AB75" s="13"/>
      <c r="AC75" s="13"/>
      <c r="AD75" s="13" t="s">
        <v>578</v>
      </c>
      <c r="AE75" s="13" t="s">
        <v>579</v>
      </c>
      <c r="AF75" s="13" t="s">
        <v>580</v>
      </c>
      <c r="AG75" s="24" t="s">
        <v>581</v>
      </c>
      <c r="AH75" s="13" t="s">
        <v>100</v>
      </c>
      <c r="AI75" s="13"/>
    </row>
    <row r="76" customFormat="false" ht="15" hidden="false" customHeight="false" outlineLevel="0" collapsed="false">
      <c r="A76" s="13" t="s">
        <v>36</v>
      </c>
      <c r="B76" s="13"/>
      <c r="C76" s="13" t="s">
        <v>582</v>
      </c>
      <c r="D76" s="13" t="s">
        <v>583</v>
      </c>
      <c r="E76" s="13" t="s">
        <v>30</v>
      </c>
      <c r="F76" s="13" t="s">
        <v>28</v>
      </c>
      <c r="G76" s="14" t="n">
        <v>49027</v>
      </c>
      <c r="H76" s="13" t="s">
        <v>20</v>
      </c>
      <c r="I76" s="15" t="n">
        <v>0.0156</v>
      </c>
      <c r="J76" s="16" t="n">
        <f aca="false">IFERROR(INDEX('Como ler'!$B$20:$B$24,MATCH(H76,'Como ler'!$A$20:$A$24,0)),"")</f>
        <v>0.015</v>
      </c>
      <c r="K76" s="17" t="n">
        <f aca="false">IF(OR(I76="",J76=""),"",I76/J76)</f>
        <v>1.04</v>
      </c>
      <c r="L76" s="14" t="n">
        <v>2757</v>
      </c>
      <c r="M76" s="18" t="n">
        <v>43.8</v>
      </c>
      <c r="N76" s="14" t="n">
        <v>14307</v>
      </c>
      <c r="O76" s="17" t="n">
        <f aca="false">IF(OR(N76="",G76=0),"",N76/G76)</f>
        <v>0.291818793725906</v>
      </c>
      <c r="P76" s="19" t="n">
        <v>1</v>
      </c>
      <c r="Q76" s="20" t="n">
        <v>2.4</v>
      </c>
      <c r="R76" s="21" t="n">
        <v>46279</v>
      </c>
      <c r="S76" s="22" t="n">
        <f aca="false">IF(R76="","",'Como ler'!$B$27-R76)</f>
        <v>13</v>
      </c>
      <c r="T76" s="13" t="n">
        <v>0</v>
      </c>
      <c r="U76" s="13"/>
      <c r="V76" s="13" t="s">
        <v>53</v>
      </c>
      <c r="W76" s="13" t="s">
        <v>584</v>
      </c>
      <c r="X76" s="26" t="s">
        <v>129</v>
      </c>
      <c r="Y76" s="13" t="n">
        <f aca="false">ROUND(IF(K76="",0,MIN(40,40*K76/1.5))+IF(S76="",0,IF(S76&lt;=7,20,IF(S76&lt;=30,12,IF(S76&lt;=90,5,0))))+IF(Q76="",0,MIN(15,Q76*5))+IF(O76="",0,MIN(15,O76*30))+IF(E76="Criador(a)",10,IF(E76="Especialista que cria conteúdo",6,4)),0)</f>
        <v>70</v>
      </c>
      <c r="Z76" s="13"/>
      <c r="AA76" s="13" t="s">
        <v>113</v>
      </c>
      <c r="AB76" s="13"/>
      <c r="AC76" s="13"/>
      <c r="AD76" s="13" t="s">
        <v>493</v>
      </c>
      <c r="AE76" s="13"/>
      <c r="AF76" s="13" t="s">
        <v>585</v>
      </c>
      <c r="AG76" s="24" t="s">
        <v>586</v>
      </c>
      <c r="AH76" s="13" t="s">
        <v>100</v>
      </c>
      <c r="AI76" s="13"/>
    </row>
    <row r="77" customFormat="false" ht="15" hidden="false" customHeight="false" outlineLevel="0" collapsed="false">
      <c r="A77" s="13" t="s">
        <v>36</v>
      </c>
      <c r="B77" s="13"/>
      <c r="C77" s="13" t="s">
        <v>587</v>
      </c>
      <c r="D77" s="13" t="s">
        <v>588</v>
      </c>
      <c r="E77" s="13" t="s">
        <v>157</v>
      </c>
      <c r="F77" s="13" t="s">
        <v>28</v>
      </c>
      <c r="G77" s="14" t="n">
        <v>46025</v>
      </c>
      <c r="H77" s="13" t="s">
        <v>20</v>
      </c>
      <c r="I77" s="15" t="n">
        <v>0.0021</v>
      </c>
      <c r="J77" s="16" t="n">
        <f aca="false">IFERROR(INDEX('Como ler'!$B$20:$B$24,MATCH(H77,'Como ler'!$A$20:$A$24,0)),"")</f>
        <v>0.015</v>
      </c>
      <c r="K77" s="17" t="n">
        <f aca="false">IF(OR(I77="",J77=""),"",I77/J77)</f>
        <v>0.14</v>
      </c>
      <c r="L77" s="14" t="n">
        <v>109</v>
      </c>
      <c r="M77" s="18" t="n">
        <v>6.4</v>
      </c>
      <c r="N77" s="14" t="n">
        <v>2141</v>
      </c>
      <c r="O77" s="17" t="n">
        <f aca="false">IF(OR(N77="",G77=0),"",N77/G77)</f>
        <v>0.0465181966322651</v>
      </c>
      <c r="P77" s="19" t="n">
        <v>0.78</v>
      </c>
      <c r="Q77" s="20" t="n">
        <v>2.1</v>
      </c>
      <c r="R77" s="21" t="n">
        <v>46286</v>
      </c>
      <c r="S77" s="22" t="n">
        <f aca="false">IF(R77="","",'Como ler'!$B$27-R77)</f>
        <v>6</v>
      </c>
      <c r="T77" s="13" t="n">
        <v>0</v>
      </c>
      <c r="U77" s="13"/>
      <c r="V77" s="13" t="s">
        <v>50</v>
      </c>
      <c r="W77" s="13" t="s">
        <v>589</v>
      </c>
      <c r="X77" s="23" t="s">
        <v>94</v>
      </c>
      <c r="Y77" s="13" t="n">
        <f aca="false">ROUND(IF(K77="",0,MIN(40,40*K77/1.5))+IF(S77="",0,IF(S77&lt;=7,20,IF(S77&lt;=30,12,IF(S77&lt;=90,5,0))))+IF(Q77="",0,MIN(15,Q77*5))+IF(O77="",0,MIN(15,O77*30))+IF(E77="Criador(a)",10,IF(E77="Especialista que cria conteúdo",6,4)),0)</f>
        <v>42</v>
      </c>
      <c r="Z77" s="13" t="s">
        <v>159</v>
      </c>
      <c r="AA77" s="13" t="s">
        <v>113</v>
      </c>
      <c r="AB77" s="13" t="s">
        <v>113</v>
      </c>
      <c r="AC77" s="13" t="s">
        <v>114</v>
      </c>
      <c r="AD77" s="13" t="s">
        <v>590</v>
      </c>
      <c r="AE77" s="13" t="s">
        <v>591</v>
      </c>
      <c r="AF77" s="13" t="s">
        <v>592</v>
      </c>
      <c r="AG77" s="24" t="s">
        <v>593</v>
      </c>
      <c r="AH77" s="13" t="s">
        <v>100</v>
      </c>
      <c r="AI77" s="13"/>
    </row>
    <row r="78" customFormat="false" ht="15" hidden="false" customHeight="false" outlineLevel="0" collapsed="false">
      <c r="A78" s="13" t="s">
        <v>36</v>
      </c>
      <c r="B78" s="13"/>
      <c r="C78" s="13" t="s">
        <v>594</v>
      </c>
      <c r="D78" s="13" t="s">
        <v>595</v>
      </c>
      <c r="E78" s="13" t="s">
        <v>157</v>
      </c>
      <c r="F78" s="13" t="s">
        <v>28</v>
      </c>
      <c r="G78" s="14" t="n">
        <v>44110</v>
      </c>
      <c r="H78" s="13" t="s">
        <v>20</v>
      </c>
      <c r="I78" s="15" t="n">
        <v>0.0034</v>
      </c>
      <c r="J78" s="16" t="n">
        <f aca="false">IFERROR(INDEX('Como ler'!$B$20:$B$24,MATCH(H78,'Como ler'!$A$20:$A$24,0)),"")</f>
        <v>0.015</v>
      </c>
      <c r="K78" s="17" t="n">
        <f aca="false">IF(OR(I78="",J78=""),"",I78/J78)</f>
        <v>0.226666666666667</v>
      </c>
      <c r="L78" s="14" t="n">
        <v>168</v>
      </c>
      <c r="M78" s="18" t="n">
        <v>27.3</v>
      </c>
      <c r="N78" s="14" t="n">
        <v>1115</v>
      </c>
      <c r="O78" s="17" t="n">
        <f aca="false">IF(OR(N78="",G78=0),"",N78/G78)</f>
        <v>0.0252777148038993</v>
      </c>
      <c r="P78" s="19" t="n">
        <v>0.56</v>
      </c>
      <c r="Q78" s="20" t="n">
        <v>7</v>
      </c>
      <c r="R78" s="21" t="n">
        <v>46291</v>
      </c>
      <c r="S78" s="22" t="n">
        <f aca="false">IF(R78="","",'Como ler'!$B$27-R78)</f>
        <v>1</v>
      </c>
      <c r="T78" s="13" t="n">
        <v>0</v>
      </c>
      <c r="U78" s="13"/>
      <c r="V78" s="13" t="s">
        <v>52</v>
      </c>
      <c r="W78" s="13" t="s">
        <v>596</v>
      </c>
      <c r="X78" s="23" t="s">
        <v>94</v>
      </c>
      <c r="Y78" s="13" t="n">
        <f aca="false">ROUND(IF(K78="",0,MIN(40,40*K78/1.5))+IF(S78="",0,IF(S78&lt;=7,20,IF(S78&lt;=30,12,IF(S78&lt;=90,5,0))))+IF(Q78="",0,MIN(15,Q78*5))+IF(O78="",0,MIN(15,O78*30))+IF(E78="Criador(a)",10,IF(E78="Especialista que cria conteúdo",6,4)),0)</f>
        <v>48</v>
      </c>
      <c r="Z78" s="13"/>
      <c r="AA78" s="13"/>
      <c r="AB78" s="13" t="s">
        <v>113</v>
      </c>
      <c r="AC78" s="13"/>
      <c r="AD78" s="13" t="s">
        <v>597</v>
      </c>
      <c r="AE78" s="13" t="s">
        <v>598</v>
      </c>
      <c r="AF78" s="13" t="s">
        <v>599</v>
      </c>
      <c r="AG78" s="24" t="s">
        <v>600</v>
      </c>
      <c r="AH78" s="13" t="s">
        <v>100</v>
      </c>
      <c r="AI78" s="13"/>
    </row>
    <row r="79" customFormat="false" ht="15" hidden="false" customHeight="false" outlineLevel="0" collapsed="false">
      <c r="A79" s="13" t="s">
        <v>36</v>
      </c>
      <c r="B79" s="13"/>
      <c r="C79" s="13" t="s">
        <v>601</v>
      </c>
      <c r="D79" s="13" t="s">
        <v>602</v>
      </c>
      <c r="E79" s="13" t="s">
        <v>157</v>
      </c>
      <c r="F79" s="13" t="s">
        <v>28</v>
      </c>
      <c r="G79" s="14" t="n">
        <v>40058</v>
      </c>
      <c r="H79" s="13" t="s">
        <v>20</v>
      </c>
      <c r="I79" s="15" t="n">
        <v>0.0029</v>
      </c>
      <c r="J79" s="16" t="n">
        <f aca="false">IFERROR(INDEX('Como ler'!$B$20:$B$24,MATCH(H79,'Como ler'!$A$20:$A$24,0)),"")</f>
        <v>0.015</v>
      </c>
      <c r="K79" s="17" t="n">
        <f aca="false">IF(OR(I79="",J79=""),"",I79/J79)</f>
        <v>0.193333333333333</v>
      </c>
      <c r="L79" s="14" t="n">
        <v>79</v>
      </c>
      <c r="M79" s="18" t="n">
        <v>40.7</v>
      </c>
      <c r="N79" s="14" t="n">
        <v>568</v>
      </c>
      <c r="O79" s="17" t="n">
        <f aca="false">IF(OR(N79="",G79=0),"",N79/G79)</f>
        <v>0.0141794398122722</v>
      </c>
      <c r="P79" s="19" t="n">
        <v>0.42</v>
      </c>
      <c r="Q79" s="20" t="n">
        <v>4.8</v>
      </c>
      <c r="R79" s="21" t="n">
        <v>46288</v>
      </c>
      <c r="S79" s="22" t="n">
        <f aca="false">IF(R79="","",'Como ler'!$B$27-R79)</f>
        <v>4</v>
      </c>
      <c r="T79" s="13" t="n">
        <v>0</v>
      </c>
      <c r="U79" s="13"/>
      <c r="V79" s="13" t="s">
        <v>47</v>
      </c>
      <c r="W79" s="13" t="s">
        <v>603</v>
      </c>
      <c r="X79" s="26" t="s">
        <v>129</v>
      </c>
      <c r="Y79" s="13" t="n">
        <f aca="false">ROUND(IF(K79="",0,MIN(40,40*K79/1.5))+IF(S79="",0,IF(S79&lt;=7,20,IF(S79&lt;=30,12,IF(S79&lt;=90,5,0))))+IF(Q79="",0,MIN(15,Q79*5))+IF(O79="",0,MIN(15,O79*30))+IF(E79="Criador(a)",10,IF(E79="Especialista que cria conteúdo",6,4)),0)</f>
        <v>47</v>
      </c>
      <c r="Z79" s="13" t="s">
        <v>604</v>
      </c>
      <c r="AA79" s="13"/>
      <c r="AB79" s="13"/>
      <c r="AC79" s="13"/>
      <c r="AD79" s="13" t="s">
        <v>605</v>
      </c>
      <c r="AE79" s="13" t="s">
        <v>606</v>
      </c>
      <c r="AF79" s="13" t="s">
        <v>607</v>
      </c>
      <c r="AG79" s="24" t="s">
        <v>608</v>
      </c>
      <c r="AH79" s="13" t="s">
        <v>100</v>
      </c>
      <c r="AI79" s="13"/>
    </row>
    <row r="80" customFormat="false" ht="15" hidden="false" customHeight="false" outlineLevel="0" collapsed="false">
      <c r="A80" s="13" t="s">
        <v>36</v>
      </c>
      <c r="B80" s="13" t="s">
        <v>35</v>
      </c>
      <c r="C80" s="13" t="s">
        <v>609</v>
      </c>
      <c r="D80" s="13" t="s">
        <v>610</v>
      </c>
      <c r="E80" s="13" t="s">
        <v>200</v>
      </c>
      <c r="F80" s="13" t="s">
        <v>201</v>
      </c>
      <c r="G80" s="14" t="n">
        <v>37995</v>
      </c>
      <c r="H80" s="13" t="s">
        <v>20</v>
      </c>
      <c r="I80" s="15" t="n">
        <v>0.0079</v>
      </c>
      <c r="J80" s="16" t="n">
        <f aca="false">IFERROR(INDEX('Como ler'!$B$20:$B$24,MATCH(H80,'Como ler'!$A$20:$A$24,0)),"")</f>
        <v>0.015</v>
      </c>
      <c r="K80" s="17" t="n">
        <f aca="false">IF(OR(I80="",J80=""),"",I80/J80)</f>
        <v>0.526666666666667</v>
      </c>
      <c r="L80" s="14" t="n">
        <v>3265</v>
      </c>
      <c r="M80" s="18" t="n">
        <v>83</v>
      </c>
      <c r="N80" s="14" t="n">
        <v>131</v>
      </c>
      <c r="O80" s="17" t="n">
        <f aca="false">IF(OR(N80="",G80=0),"",N80/G80)</f>
        <v>0.00344782208185288</v>
      </c>
      <c r="P80" s="19" t="n">
        <v>1</v>
      </c>
      <c r="Q80" s="20" t="n">
        <v>2.1</v>
      </c>
      <c r="R80" s="21" t="n">
        <v>46229</v>
      </c>
      <c r="S80" s="22" t="n">
        <f aca="false">IF(R80="","",'Como ler'!$B$27-R80)</f>
        <v>63</v>
      </c>
      <c r="T80" s="13" t="n">
        <v>0</v>
      </c>
      <c r="U80" s="13"/>
      <c r="V80" s="13" t="s">
        <v>57</v>
      </c>
      <c r="W80" s="13" t="s">
        <v>57</v>
      </c>
      <c r="X80" s="25" t="s">
        <v>104</v>
      </c>
      <c r="Y80" s="13" t="n">
        <f aca="false">ROUND(IF(K80="",0,MIN(40,40*K80/1.5))+IF(S80="",0,IF(S80&lt;=7,20,IF(S80&lt;=30,12,IF(S80&lt;=90,5,0))))+IF(Q80="",0,MIN(15,Q80*5))+IF(O80="",0,MIN(15,O80*30))+IF(E80="Criador(a)",10,IF(E80="Especialista que cria conteúdo",6,4)),0)</f>
        <v>34</v>
      </c>
      <c r="Z80" s="13" t="s">
        <v>289</v>
      </c>
      <c r="AA80" s="13"/>
      <c r="AB80" s="13"/>
      <c r="AC80" s="13" t="s">
        <v>130</v>
      </c>
      <c r="AD80" s="13" t="s">
        <v>611</v>
      </c>
      <c r="AE80" s="13" t="s">
        <v>612</v>
      </c>
      <c r="AF80" s="13" t="s">
        <v>613</v>
      </c>
      <c r="AG80" s="24" t="s">
        <v>614</v>
      </c>
      <c r="AH80" s="13" t="s">
        <v>100</v>
      </c>
      <c r="AI80" s="13"/>
    </row>
    <row r="81" customFormat="false" ht="15" hidden="false" customHeight="false" outlineLevel="0" collapsed="false">
      <c r="A81" s="13" t="s">
        <v>36</v>
      </c>
      <c r="B81" s="13"/>
      <c r="C81" s="13" t="s">
        <v>615</v>
      </c>
      <c r="D81" s="13" t="s">
        <v>616</v>
      </c>
      <c r="E81" s="13" t="s">
        <v>157</v>
      </c>
      <c r="F81" s="13" t="s">
        <v>29</v>
      </c>
      <c r="G81" s="14" t="n">
        <v>37833</v>
      </c>
      <c r="H81" s="13" t="s">
        <v>20</v>
      </c>
      <c r="I81" s="15" t="n">
        <v>0.001</v>
      </c>
      <c r="J81" s="16" t="n">
        <f aca="false">IFERROR(INDEX('Como ler'!$B$20:$B$24,MATCH(H81,'Como ler'!$A$20:$A$24,0)),"")</f>
        <v>0.015</v>
      </c>
      <c r="K81" s="17" t="n">
        <f aca="false">IF(OR(I81="",J81=""),"",I81/J81)</f>
        <v>0.0666666666666667</v>
      </c>
      <c r="L81" s="14" t="n">
        <v>54</v>
      </c>
      <c r="M81" s="18" t="n">
        <v>6.7</v>
      </c>
      <c r="N81" s="14" t="n">
        <v>845</v>
      </c>
      <c r="O81" s="17" t="n">
        <f aca="false">IF(OR(N81="",G81=0),"",N81/G81)</f>
        <v>0.0223349985462427</v>
      </c>
      <c r="P81" s="19" t="n">
        <v>0.08</v>
      </c>
      <c r="Q81" s="20" t="n">
        <v>7</v>
      </c>
      <c r="R81" s="21" t="n">
        <v>46292</v>
      </c>
      <c r="S81" s="22" t="n">
        <f aca="false">IF(R81="","",'Como ler'!$B$27-R81)</f>
        <v>0</v>
      </c>
      <c r="T81" s="13" t="n">
        <v>0</v>
      </c>
      <c r="U81" s="13"/>
      <c r="V81" s="13"/>
      <c r="W81" s="13"/>
      <c r="X81" s="25" t="s">
        <v>104</v>
      </c>
      <c r="Y81" s="13" t="n">
        <f aca="false">ROUND(IF(K81="",0,MIN(40,40*K81/1.5))+IF(S81="",0,IF(S81&lt;=7,20,IF(S81&lt;=30,12,IF(S81&lt;=90,5,0))))+IF(Q81="",0,MIN(15,Q81*5))+IF(O81="",0,MIN(15,O81*30))+IF(E81="Criador(a)",10,IF(E81="Especialista que cria conteúdo",6,4)),0)</f>
        <v>43</v>
      </c>
      <c r="Z81" s="13"/>
      <c r="AA81" s="13"/>
      <c r="AB81" s="13"/>
      <c r="AC81" s="13"/>
      <c r="AD81" s="13" t="s">
        <v>523</v>
      </c>
      <c r="AE81" s="13" t="s">
        <v>617</v>
      </c>
      <c r="AF81" s="13" t="s">
        <v>618</v>
      </c>
      <c r="AG81" s="24" t="s">
        <v>619</v>
      </c>
      <c r="AH81" s="13" t="s">
        <v>100</v>
      </c>
      <c r="AI81" s="13"/>
    </row>
    <row r="82" customFormat="false" ht="15" hidden="false" customHeight="false" outlineLevel="0" collapsed="false">
      <c r="A82" s="13" t="s">
        <v>36</v>
      </c>
      <c r="B82" s="13" t="s">
        <v>38</v>
      </c>
      <c r="C82" s="13" t="s">
        <v>620</v>
      </c>
      <c r="D82" s="13" t="s">
        <v>621</v>
      </c>
      <c r="E82" s="13" t="s">
        <v>200</v>
      </c>
      <c r="F82" s="13" t="s">
        <v>201</v>
      </c>
      <c r="G82" s="14" t="n">
        <v>35099</v>
      </c>
      <c r="H82" s="13" t="s">
        <v>20</v>
      </c>
      <c r="I82" s="15" t="n">
        <v>0.0062</v>
      </c>
      <c r="J82" s="16" t="n">
        <f aca="false">IFERROR(INDEX('Como ler'!$B$20:$B$24,MATCH(H82,'Como ler'!$A$20:$A$24,0)),"")</f>
        <v>0.015</v>
      </c>
      <c r="K82" s="17" t="n">
        <f aca="false">IF(OR(I82="",J82=""),"",I82/J82)</f>
        <v>0.413333333333333</v>
      </c>
      <c r="L82" s="14" t="n">
        <v>387</v>
      </c>
      <c r="M82" s="18" t="n">
        <v>34.1</v>
      </c>
      <c r="N82" s="14" t="n">
        <v>1973</v>
      </c>
      <c r="O82" s="17" t="n">
        <f aca="false">IF(OR(N82="",G82=0),"",N82/G82)</f>
        <v>0.056212427704493</v>
      </c>
      <c r="P82" s="19" t="n">
        <v>0.82</v>
      </c>
      <c r="Q82" s="20" t="n">
        <v>0.3</v>
      </c>
      <c r="R82" s="21" t="n">
        <v>46285</v>
      </c>
      <c r="S82" s="22" t="n">
        <f aca="false">IF(R82="","",'Como ler'!$B$27-R82)</f>
        <v>7</v>
      </c>
      <c r="T82" s="13" t="n">
        <v>0</v>
      </c>
      <c r="U82" s="13"/>
      <c r="V82" s="13" t="s">
        <v>57</v>
      </c>
      <c r="W82" s="13" t="s">
        <v>57</v>
      </c>
      <c r="X82" s="25" t="s">
        <v>104</v>
      </c>
      <c r="Y82" s="13" t="n">
        <f aca="false">ROUND(IF(K82="",0,MIN(40,40*K82/1.5))+IF(S82="",0,IF(S82&lt;=7,20,IF(S82&lt;=30,12,IF(S82&lt;=90,5,0))))+IF(Q82="",0,MIN(15,Q82*5))+IF(O82="",0,MIN(15,O82*30))+IF(E82="Criador(a)",10,IF(E82="Especialista que cria conteúdo",6,4)),0)</f>
        <v>38</v>
      </c>
      <c r="Z82" s="13" t="s">
        <v>622</v>
      </c>
      <c r="AA82" s="13"/>
      <c r="AB82" s="13"/>
      <c r="AC82" s="13" t="s">
        <v>130</v>
      </c>
      <c r="AD82" s="13" t="s">
        <v>623</v>
      </c>
      <c r="AE82" s="13" t="s">
        <v>624</v>
      </c>
      <c r="AF82" s="13" t="s">
        <v>625</v>
      </c>
      <c r="AG82" s="24" t="s">
        <v>626</v>
      </c>
      <c r="AH82" s="13" t="s">
        <v>100</v>
      </c>
      <c r="AI82" s="13"/>
    </row>
    <row r="83" customFormat="false" ht="15" hidden="false" customHeight="false" outlineLevel="0" collapsed="false">
      <c r="A83" s="13" t="s">
        <v>36</v>
      </c>
      <c r="B83" s="13" t="s">
        <v>37</v>
      </c>
      <c r="C83" s="13" t="s">
        <v>627</v>
      </c>
      <c r="D83" s="13" t="s">
        <v>628</v>
      </c>
      <c r="E83" s="13" t="s">
        <v>30</v>
      </c>
      <c r="F83" s="13" t="s">
        <v>28</v>
      </c>
      <c r="G83" s="14" t="n">
        <v>29874</v>
      </c>
      <c r="H83" s="13" t="s">
        <v>19</v>
      </c>
      <c r="I83" s="15" t="n">
        <v>0.0218</v>
      </c>
      <c r="J83" s="16" t="n">
        <f aca="false">IFERROR(INDEX('Como ler'!$B$20:$B$24,MATCH(H83,'Como ler'!$A$20:$A$24,0)),"")</f>
        <v>0.025</v>
      </c>
      <c r="K83" s="17" t="n">
        <f aca="false">IF(OR(I83="",J83=""),"",I83/J83)</f>
        <v>0.872</v>
      </c>
      <c r="L83" s="14" t="n">
        <v>726</v>
      </c>
      <c r="M83" s="18" t="n">
        <v>31.4</v>
      </c>
      <c r="N83" s="14" t="n">
        <v>2510</v>
      </c>
      <c r="O83" s="17" t="n">
        <f aca="false">IF(OR(N83="",G83=0),"",N83/G83)</f>
        <v>0.084019548771507</v>
      </c>
      <c r="P83" s="19" t="n">
        <v>0.67</v>
      </c>
      <c r="Q83" s="20" t="n">
        <v>14</v>
      </c>
      <c r="R83" s="21" t="n">
        <v>46292</v>
      </c>
      <c r="S83" s="22" t="n">
        <f aca="false">IF(R83="","",'Como ler'!$B$27-R83)</f>
        <v>0</v>
      </c>
      <c r="T83" s="13" t="n">
        <v>0</v>
      </c>
      <c r="U83" s="13"/>
      <c r="V83" s="13" t="s">
        <v>45</v>
      </c>
      <c r="W83" s="13" t="s">
        <v>629</v>
      </c>
      <c r="X83" s="26" t="s">
        <v>129</v>
      </c>
      <c r="Y83" s="13" t="n">
        <f aca="false">ROUND(IF(K83="",0,MIN(40,40*K83/1.5))+IF(S83="",0,IF(S83&lt;=7,20,IF(S83&lt;=30,12,IF(S83&lt;=90,5,0))))+IF(Q83="",0,MIN(15,Q83*5))+IF(O83="",0,MIN(15,O83*30))+IF(E83="Criador(a)",10,IF(E83="Especialista que cria conteúdo",6,4)),0)</f>
        <v>71</v>
      </c>
      <c r="Z83" s="13" t="s">
        <v>105</v>
      </c>
      <c r="AA83" s="13"/>
      <c r="AB83" s="13" t="s">
        <v>113</v>
      </c>
      <c r="AC83" s="13" t="s">
        <v>130</v>
      </c>
      <c r="AD83" s="13" t="s">
        <v>630</v>
      </c>
      <c r="AE83" s="13" t="s">
        <v>631</v>
      </c>
      <c r="AF83" s="13" t="s">
        <v>632</v>
      </c>
      <c r="AG83" s="24" t="s">
        <v>633</v>
      </c>
      <c r="AH83" s="13" t="s">
        <v>100</v>
      </c>
      <c r="AI83" s="13"/>
    </row>
    <row r="84" customFormat="false" ht="15" hidden="false" customHeight="false" outlineLevel="0" collapsed="false">
      <c r="A84" s="13" t="s">
        <v>36</v>
      </c>
      <c r="B84" s="13"/>
      <c r="C84" s="13" t="s">
        <v>634</v>
      </c>
      <c r="D84" s="13" t="s">
        <v>635</v>
      </c>
      <c r="E84" s="13" t="s">
        <v>157</v>
      </c>
      <c r="F84" s="13" t="s">
        <v>29</v>
      </c>
      <c r="G84" s="14" t="n">
        <v>27825</v>
      </c>
      <c r="H84" s="13" t="s">
        <v>19</v>
      </c>
      <c r="I84" s="15" t="n">
        <v>0.0048</v>
      </c>
      <c r="J84" s="16" t="n">
        <f aca="false">IFERROR(INDEX('Como ler'!$B$20:$B$24,MATCH(H84,'Como ler'!$A$20:$A$24,0)),"")</f>
        <v>0.025</v>
      </c>
      <c r="K84" s="17" t="n">
        <f aca="false">IF(OR(I84="",J84=""),"",I84/J84)</f>
        <v>0.192</v>
      </c>
      <c r="L84" s="14" t="n">
        <v>258</v>
      </c>
      <c r="M84" s="18" t="n">
        <v>10.2</v>
      </c>
      <c r="N84" s="14" t="n">
        <v>1288</v>
      </c>
      <c r="O84" s="17" t="n">
        <f aca="false">IF(OR(N84="",G84=0),"",N84/G84)</f>
        <v>0.0462893081761006</v>
      </c>
      <c r="P84" s="19" t="n">
        <v>0.45</v>
      </c>
      <c r="Q84" s="20" t="n">
        <v>0.1</v>
      </c>
      <c r="R84" s="21" t="n">
        <v>46140</v>
      </c>
      <c r="S84" s="22" t="n">
        <f aca="false">IF(R84="","",'Como ler'!$B$27-R84)</f>
        <v>152</v>
      </c>
      <c r="T84" s="13" t="n">
        <v>0</v>
      </c>
      <c r="U84" s="13"/>
      <c r="V84" s="13"/>
      <c r="W84" s="13"/>
      <c r="X84" s="25" t="s">
        <v>104</v>
      </c>
      <c r="Y84" s="13" t="n">
        <f aca="false">ROUND(IF(K84="",0,MIN(40,40*K84/1.5))+IF(S84="",0,IF(S84&lt;=7,20,IF(S84&lt;=30,12,IF(S84&lt;=90,5,0))))+IF(Q84="",0,MIN(15,Q84*5))+IF(O84="",0,MIN(15,O84*30))+IF(E84="Criador(a)",10,IF(E84="Especialista que cria conteúdo",6,4)),0)</f>
        <v>13</v>
      </c>
      <c r="Z84" s="13"/>
      <c r="AA84" s="13"/>
      <c r="AB84" s="13" t="s">
        <v>113</v>
      </c>
      <c r="AC84" s="13"/>
      <c r="AD84" s="13" t="s">
        <v>571</v>
      </c>
      <c r="AE84" s="13" t="s">
        <v>636</v>
      </c>
      <c r="AF84" s="13" t="s">
        <v>637</v>
      </c>
      <c r="AG84" s="24" t="s">
        <v>638</v>
      </c>
      <c r="AH84" s="13" t="s">
        <v>100</v>
      </c>
      <c r="AI84" s="13"/>
    </row>
    <row r="85" customFormat="false" ht="15" hidden="false" customHeight="false" outlineLevel="0" collapsed="false">
      <c r="A85" s="13" t="s">
        <v>36</v>
      </c>
      <c r="B85" s="13"/>
      <c r="C85" s="13" t="s">
        <v>639</v>
      </c>
      <c r="D85" s="13" t="s">
        <v>640</v>
      </c>
      <c r="E85" s="13" t="s">
        <v>30</v>
      </c>
      <c r="F85" s="13" t="s">
        <v>201</v>
      </c>
      <c r="G85" s="14" t="n">
        <v>26445</v>
      </c>
      <c r="H85" s="13" t="s">
        <v>19</v>
      </c>
      <c r="I85" s="15" t="n">
        <v>0.0069</v>
      </c>
      <c r="J85" s="16" t="n">
        <f aca="false">IFERROR(INDEX('Como ler'!$B$20:$B$24,MATCH(H85,'Como ler'!$A$20:$A$24,0)),"")</f>
        <v>0.025</v>
      </c>
      <c r="K85" s="17" t="n">
        <f aca="false">IF(OR(I85="",J85=""),"",I85/J85)</f>
        <v>0.276</v>
      </c>
      <c r="L85" s="14" t="n">
        <v>175</v>
      </c>
      <c r="M85" s="18" t="n">
        <v>9</v>
      </c>
      <c r="N85" s="14" t="n">
        <v>6938</v>
      </c>
      <c r="O85" s="17" t="n">
        <f aca="false">IF(OR(N85="",G85=0),"",N85/G85)</f>
        <v>0.262355832860654</v>
      </c>
      <c r="P85" s="19" t="n">
        <v>0.67</v>
      </c>
      <c r="Q85" s="20" t="n">
        <v>1.8</v>
      </c>
      <c r="R85" s="21" t="n">
        <v>45087</v>
      </c>
      <c r="S85" s="22" t="n">
        <f aca="false">IF(R85="","",'Como ler'!$B$27-R85)</f>
        <v>1205</v>
      </c>
      <c r="T85" s="13" t="n">
        <v>0</v>
      </c>
      <c r="U85" s="13"/>
      <c r="V85" s="13"/>
      <c r="W85" s="13"/>
      <c r="X85" s="25" t="s">
        <v>104</v>
      </c>
      <c r="Y85" s="13" t="n">
        <f aca="false">ROUND(IF(K85="",0,MIN(40,40*K85/1.5))+IF(S85="",0,IF(S85&lt;=7,20,IF(S85&lt;=30,12,IF(S85&lt;=90,5,0))))+IF(Q85="",0,MIN(15,Q85*5))+IF(O85="",0,MIN(15,O85*30))+IF(E85="Criador(a)",10,IF(E85="Especialista que cria conteúdo",6,4)),0)</f>
        <v>34</v>
      </c>
      <c r="Z85" s="13"/>
      <c r="AA85" s="13"/>
      <c r="AB85" s="13" t="s">
        <v>113</v>
      </c>
      <c r="AC85" s="13"/>
      <c r="AD85" s="13" t="s">
        <v>641</v>
      </c>
      <c r="AE85" s="13" t="s">
        <v>642</v>
      </c>
      <c r="AF85" s="13" t="s">
        <v>643</v>
      </c>
      <c r="AG85" s="24" t="s">
        <v>644</v>
      </c>
      <c r="AH85" s="13" t="s">
        <v>100</v>
      </c>
      <c r="AI85" s="13"/>
    </row>
    <row r="86" customFormat="false" ht="15" hidden="false" customHeight="false" outlineLevel="0" collapsed="false">
      <c r="A86" s="13" t="s">
        <v>36</v>
      </c>
      <c r="B86" s="13" t="s">
        <v>35</v>
      </c>
      <c r="C86" s="13" t="s">
        <v>645</v>
      </c>
      <c r="D86" s="13" t="s">
        <v>646</v>
      </c>
      <c r="E86" s="13" t="s">
        <v>157</v>
      </c>
      <c r="F86" s="13" t="s">
        <v>28</v>
      </c>
      <c r="G86" s="14" t="n">
        <v>26203</v>
      </c>
      <c r="H86" s="13" t="s">
        <v>19</v>
      </c>
      <c r="I86" s="15" t="n">
        <v>0.02</v>
      </c>
      <c r="J86" s="16" t="n">
        <f aca="false">IFERROR(INDEX('Como ler'!$B$20:$B$24,MATCH(H86,'Como ler'!$A$20:$A$24,0)),"")</f>
        <v>0.025</v>
      </c>
      <c r="K86" s="17" t="n">
        <f aca="false">IF(OR(I86="",J86=""),"",I86/J86)</f>
        <v>0.8</v>
      </c>
      <c r="L86" s="14" t="n">
        <v>738</v>
      </c>
      <c r="M86" s="18" t="n">
        <v>8</v>
      </c>
      <c r="N86" s="14" t="n">
        <v>1466</v>
      </c>
      <c r="O86" s="17" t="n">
        <f aca="false">IF(OR(N86="",G86=0),"",N86/G86)</f>
        <v>0.0559477922375301</v>
      </c>
      <c r="P86" s="19" t="n">
        <v>0.11</v>
      </c>
      <c r="Q86" s="20" t="n">
        <v>0.8</v>
      </c>
      <c r="R86" s="21" t="n">
        <v>46250</v>
      </c>
      <c r="S86" s="22" t="n">
        <f aca="false">IF(R86="","",'Como ler'!$B$27-R86)</f>
        <v>42</v>
      </c>
      <c r="T86" s="13" t="n">
        <v>0</v>
      </c>
      <c r="U86" s="13"/>
      <c r="V86" s="13" t="s">
        <v>55</v>
      </c>
      <c r="W86" s="13" t="s">
        <v>55</v>
      </c>
      <c r="X86" s="26" t="s">
        <v>129</v>
      </c>
      <c r="Y86" s="13" t="n">
        <f aca="false">ROUND(IF(K86="",0,MIN(40,40*K86/1.5))+IF(S86="",0,IF(S86&lt;=7,20,IF(S86&lt;=30,12,IF(S86&lt;=90,5,0))))+IF(Q86="",0,MIN(15,Q86*5))+IF(O86="",0,MIN(15,O86*30))+IF(E86="Criador(a)",10,IF(E86="Especialista que cria conteúdo",6,4)),0)</f>
        <v>38</v>
      </c>
      <c r="Z86" s="13" t="s">
        <v>105</v>
      </c>
      <c r="AA86" s="13"/>
      <c r="AB86" s="13" t="s">
        <v>113</v>
      </c>
      <c r="AC86" s="13"/>
      <c r="AD86" s="13" t="s">
        <v>647</v>
      </c>
      <c r="AE86" s="13" t="s">
        <v>648</v>
      </c>
      <c r="AF86" s="13" t="s">
        <v>649</v>
      </c>
      <c r="AG86" s="24" t="s">
        <v>650</v>
      </c>
      <c r="AH86" s="13" t="s">
        <v>100</v>
      </c>
      <c r="AI86" s="13"/>
    </row>
    <row r="87" customFormat="false" ht="15" hidden="false" customHeight="false" outlineLevel="0" collapsed="false">
      <c r="A87" s="13" t="s">
        <v>36</v>
      </c>
      <c r="B87" s="13"/>
      <c r="C87" s="13" t="s">
        <v>651</v>
      </c>
      <c r="D87" s="13" t="s">
        <v>652</v>
      </c>
      <c r="E87" s="13" t="s">
        <v>157</v>
      </c>
      <c r="F87" s="13" t="s">
        <v>29</v>
      </c>
      <c r="G87" s="14" t="n">
        <v>25962</v>
      </c>
      <c r="H87" s="13" t="s">
        <v>19</v>
      </c>
      <c r="I87" s="15" t="n">
        <v>0.003</v>
      </c>
      <c r="J87" s="16" t="n">
        <f aca="false">IFERROR(INDEX('Como ler'!$B$20:$B$24,MATCH(H87,'Como ler'!$A$20:$A$24,0)),"")</f>
        <v>0.025</v>
      </c>
      <c r="K87" s="17" t="n">
        <f aca="false">IF(OR(I87="",J87=""),"",I87/J87)</f>
        <v>0.12</v>
      </c>
      <c r="L87" s="14" t="n">
        <v>89</v>
      </c>
      <c r="M87" s="18" t="n">
        <v>40</v>
      </c>
      <c r="N87" s="14" t="n">
        <v>3780</v>
      </c>
      <c r="O87" s="17" t="n">
        <f aca="false">IF(OR(N87="",G87=0),"",N87/G87)</f>
        <v>0.145597411601572</v>
      </c>
      <c r="P87" s="19" t="n">
        <v>0.11</v>
      </c>
      <c r="Q87" s="20" t="n">
        <v>1.6</v>
      </c>
      <c r="R87" s="21" t="n">
        <v>46290</v>
      </c>
      <c r="S87" s="22" t="n">
        <f aca="false">IF(R87="","",'Como ler'!$B$27-R87)</f>
        <v>2</v>
      </c>
      <c r="T87" s="13" t="n">
        <v>0</v>
      </c>
      <c r="U87" s="13"/>
      <c r="V87" s="13" t="s">
        <v>43</v>
      </c>
      <c r="W87" s="13" t="s">
        <v>43</v>
      </c>
      <c r="X87" s="26" t="s">
        <v>129</v>
      </c>
      <c r="Y87" s="13" t="n">
        <f aca="false">ROUND(IF(K87="",0,MIN(40,40*K87/1.5))+IF(S87="",0,IF(S87&lt;=7,20,IF(S87&lt;=30,12,IF(S87&lt;=90,5,0))))+IF(Q87="",0,MIN(15,Q87*5))+IF(O87="",0,MIN(15,O87*30))+IF(E87="Criador(a)",10,IF(E87="Especialista que cria conteúdo",6,4)),0)</f>
        <v>42</v>
      </c>
      <c r="Z87" s="13" t="s">
        <v>105</v>
      </c>
      <c r="AA87" s="13" t="s">
        <v>113</v>
      </c>
      <c r="AB87" s="13" t="s">
        <v>113</v>
      </c>
      <c r="AC87" s="13"/>
      <c r="AD87" s="13" t="s">
        <v>653</v>
      </c>
      <c r="AE87" s="13" t="s">
        <v>654</v>
      </c>
      <c r="AF87" s="13" t="s">
        <v>655</v>
      </c>
      <c r="AG87" s="24" t="s">
        <v>656</v>
      </c>
      <c r="AH87" s="13" t="s">
        <v>100</v>
      </c>
      <c r="AI87" s="13"/>
    </row>
    <row r="88" customFormat="false" ht="15" hidden="false" customHeight="false" outlineLevel="0" collapsed="false">
      <c r="A88" s="13" t="s">
        <v>36</v>
      </c>
      <c r="B88" s="13"/>
      <c r="C88" s="13" t="s">
        <v>657</v>
      </c>
      <c r="D88" s="13" t="s">
        <v>658</v>
      </c>
      <c r="E88" s="13" t="s">
        <v>30</v>
      </c>
      <c r="F88" s="13" t="s">
        <v>28</v>
      </c>
      <c r="G88" s="14" t="n">
        <v>24991</v>
      </c>
      <c r="H88" s="13" t="s">
        <v>19</v>
      </c>
      <c r="I88" s="15" t="n">
        <v>0.022</v>
      </c>
      <c r="J88" s="16" t="n">
        <f aca="false">IFERROR(INDEX('Como ler'!$B$20:$B$24,MATCH(H88,'Como ler'!$A$20:$A$24,0)),"")</f>
        <v>0.025</v>
      </c>
      <c r="K88" s="17" t="n">
        <f aca="false">IF(OR(I88="",J88=""),"",I88/J88)</f>
        <v>0.88</v>
      </c>
      <c r="L88" s="14" t="n">
        <v>598</v>
      </c>
      <c r="M88" s="18" t="n">
        <v>6.7</v>
      </c>
      <c r="N88" s="14" t="n">
        <v>344</v>
      </c>
      <c r="O88" s="17" t="n">
        <f aca="false">IF(OR(N88="",G88=0),"",N88/G88)</f>
        <v>0.0137649553839382</v>
      </c>
      <c r="P88" s="19" t="n">
        <v>0.22</v>
      </c>
      <c r="Q88" s="20" t="n">
        <v>0.1</v>
      </c>
      <c r="R88" s="21" t="n">
        <v>46226</v>
      </c>
      <c r="S88" s="22" t="n">
        <f aca="false">IF(R88="","",'Como ler'!$B$27-R88)</f>
        <v>66</v>
      </c>
      <c r="T88" s="13" t="n">
        <v>1</v>
      </c>
      <c r="U88" s="13"/>
      <c r="V88" s="13" t="s">
        <v>43</v>
      </c>
      <c r="W88" s="13" t="s">
        <v>659</v>
      </c>
      <c r="X88" s="26" t="s">
        <v>129</v>
      </c>
      <c r="Y88" s="13" t="n">
        <f aca="false">ROUND(IF(K88="",0,MIN(40,40*K88/1.5))+IF(S88="",0,IF(S88&lt;=7,20,IF(S88&lt;=30,12,IF(S88&lt;=90,5,0))))+IF(Q88="",0,MIN(15,Q88*5))+IF(O88="",0,MIN(15,O88*30))+IF(E88="Criador(a)",10,IF(E88="Especialista que cria conteúdo",6,4)),0)</f>
        <v>39</v>
      </c>
      <c r="Z88" s="13" t="s">
        <v>105</v>
      </c>
      <c r="AA88" s="13" t="s">
        <v>113</v>
      </c>
      <c r="AB88" s="13"/>
      <c r="AC88" s="13"/>
      <c r="AD88" s="13" t="s">
        <v>605</v>
      </c>
      <c r="AE88" s="13" t="s">
        <v>660</v>
      </c>
      <c r="AF88" s="13" t="s">
        <v>661</v>
      </c>
      <c r="AG88" s="24" t="s">
        <v>662</v>
      </c>
      <c r="AH88" s="13" t="s">
        <v>100</v>
      </c>
      <c r="AI88" s="13"/>
    </row>
    <row r="89" customFormat="false" ht="15" hidden="false" customHeight="false" outlineLevel="0" collapsed="false">
      <c r="A89" s="13" t="s">
        <v>36</v>
      </c>
      <c r="B89" s="13" t="s">
        <v>37</v>
      </c>
      <c r="C89" s="13" t="s">
        <v>663</v>
      </c>
      <c r="D89" s="13" t="s">
        <v>664</v>
      </c>
      <c r="E89" s="13" t="s">
        <v>200</v>
      </c>
      <c r="F89" s="13" t="s">
        <v>201</v>
      </c>
      <c r="G89" s="14" t="n">
        <v>24560</v>
      </c>
      <c r="H89" s="13" t="s">
        <v>19</v>
      </c>
      <c r="I89" s="15" t="n">
        <v>0.0014</v>
      </c>
      <c r="J89" s="16" t="n">
        <f aca="false">IFERROR(INDEX('Como ler'!$B$20:$B$24,MATCH(H89,'Como ler'!$A$20:$A$24,0)),"")</f>
        <v>0.025</v>
      </c>
      <c r="K89" s="17" t="n">
        <f aca="false">IF(OR(I89="",J89=""),"",I89/J89)</f>
        <v>0.056</v>
      </c>
      <c r="L89" s="14" t="n">
        <v>226</v>
      </c>
      <c r="M89" s="18" t="n">
        <v>5.3</v>
      </c>
      <c r="N89" s="14" t="n">
        <v>212</v>
      </c>
      <c r="O89" s="17" t="n">
        <f aca="false">IF(OR(N89="",G89=0),"",N89/G89)</f>
        <v>0.00863192182410424</v>
      </c>
      <c r="P89" s="19" t="n">
        <v>1</v>
      </c>
      <c r="Q89" s="20" t="n">
        <v>0.7</v>
      </c>
      <c r="R89" s="21" t="n">
        <v>46222</v>
      </c>
      <c r="S89" s="22" t="n">
        <f aca="false">IF(R89="","",'Como ler'!$B$27-R89)</f>
        <v>70</v>
      </c>
      <c r="T89" s="13" t="n">
        <v>0</v>
      </c>
      <c r="U89" s="13"/>
      <c r="V89" s="13" t="s">
        <v>57</v>
      </c>
      <c r="W89" s="13" t="s">
        <v>57</v>
      </c>
      <c r="X89" s="25" t="s">
        <v>104</v>
      </c>
      <c r="Y89" s="13" t="n">
        <f aca="false">ROUND(IF(K89="",0,MIN(40,40*K89/1.5))+IF(S89="",0,IF(S89&lt;=7,20,IF(S89&lt;=30,12,IF(S89&lt;=90,5,0))))+IF(Q89="",0,MIN(15,Q89*5))+IF(O89="",0,MIN(15,O89*30))+IF(E89="Criador(a)",10,IF(E89="Especialista que cria conteúdo",6,4)),0)</f>
        <v>14</v>
      </c>
      <c r="Z89" s="13"/>
      <c r="AA89" s="13"/>
      <c r="AB89" s="13" t="s">
        <v>113</v>
      </c>
      <c r="AC89" s="13"/>
      <c r="AD89" s="13" t="s">
        <v>665</v>
      </c>
      <c r="AE89" s="13" t="s">
        <v>666</v>
      </c>
      <c r="AF89" s="13" t="s">
        <v>667</v>
      </c>
      <c r="AG89" s="24" t="s">
        <v>668</v>
      </c>
      <c r="AH89" s="13" t="s">
        <v>100</v>
      </c>
      <c r="AI89" s="13"/>
    </row>
    <row r="90" customFormat="false" ht="15" hidden="false" customHeight="false" outlineLevel="0" collapsed="false">
      <c r="A90" s="13" t="s">
        <v>36</v>
      </c>
      <c r="B90" s="13"/>
      <c r="C90" s="13" t="s">
        <v>669</v>
      </c>
      <c r="D90" s="13" t="s">
        <v>670</v>
      </c>
      <c r="E90" s="13" t="s">
        <v>157</v>
      </c>
      <c r="F90" s="13" t="s">
        <v>29</v>
      </c>
      <c r="G90" s="14" t="n">
        <v>23216</v>
      </c>
      <c r="H90" s="13" t="s">
        <v>19</v>
      </c>
      <c r="I90" s="15" t="n">
        <v>0.0034</v>
      </c>
      <c r="J90" s="16" t="n">
        <f aca="false">IFERROR(INDEX('Como ler'!$B$20:$B$24,MATCH(H90,'Como ler'!$A$20:$A$24,0)),"")</f>
        <v>0.025</v>
      </c>
      <c r="K90" s="17" t="n">
        <f aca="false">IF(OR(I90="",J90=""),"",I90/J90)</f>
        <v>0.136</v>
      </c>
      <c r="L90" s="14" t="n">
        <v>105</v>
      </c>
      <c r="M90" s="18" t="n">
        <v>17.5</v>
      </c>
      <c r="N90" s="14" t="n">
        <v>510</v>
      </c>
      <c r="O90" s="17" t="n">
        <f aca="false">IF(OR(N90="",G90=0),"",N90/G90)</f>
        <v>0.0219676085458305</v>
      </c>
      <c r="P90" s="19" t="n">
        <v>0.83</v>
      </c>
      <c r="Q90" s="20" t="n">
        <v>0.1</v>
      </c>
      <c r="R90" s="21" t="n">
        <v>46284</v>
      </c>
      <c r="S90" s="22" t="n">
        <f aca="false">IF(R90="","",'Como ler'!$B$27-R90)</f>
        <v>8</v>
      </c>
      <c r="T90" s="13" t="n">
        <v>0</v>
      </c>
      <c r="U90" s="13"/>
      <c r="V90" s="13" t="s">
        <v>43</v>
      </c>
      <c r="W90" s="13" t="s">
        <v>671</v>
      </c>
      <c r="X90" s="26" t="s">
        <v>129</v>
      </c>
      <c r="Y90" s="13" t="n">
        <f aca="false">ROUND(IF(K90="",0,MIN(40,40*K90/1.5))+IF(S90="",0,IF(S90&lt;=7,20,IF(S90&lt;=30,12,IF(S90&lt;=90,5,0))))+IF(Q90="",0,MIN(15,Q90*5))+IF(O90="",0,MIN(15,O90*30))+IF(E90="Criador(a)",10,IF(E90="Especialista que cria conteúdo",6,4)),0)</f>
        <v>23</v>
      </c>
      <c r="Z90" s="13" t="s">
        <v>672</v>
      </c>
      <c r="AA90" s="13" t="s">
        <v>113</v>
      </c>
      <c r="AB90" s="13" t="s">
        <v>113</v>
      </c>
      <c r="AC90" s="13"/>
      <c r="AD90" s="13" t="s">
        <v>578</v>
      </c>
      <c r="AE90" s="13" t="s">
        <v>673</v>
      </c>
      <c r="AF90" s="13" t="s">
        <v>674</v>
      </c>
      <c r="AG90" s="24" t="s">
        <v>675</v>
      </c>
      <c r="AH90" s="13" t="s">
        <v>100</v>
      </c>
      <c r="AI90" s="13"/>
    </row>
    <row r="91" customFormat="false" ht="15" hidden="false" customHeight="false" outlineLevel="0" collapsed="false">
      <c r="A91" s="13" t="s">
        <v>36</v>
      </c>
      <c r="B91" s="13" t="s">
        <v>35</v>
      </c>
      <c r="C91" s="13" t="s">
        <v>676</v>
      </c>
      <c r="D91" s="13" t="s">
        <v>677</v>
      </c>
      <c r="E91" s="13" t="s">
        <v>30</v>
      </c>
      <c r="F91" s="13" t="s">
        <v>28</v>
      </c>
      <c r="G91" s="14" t="n">
        <v>22210</v>
      </c>
      <c r="H91" s="13" t="s">
        <v>19</v>
      </c>
      <c r="I91" s="15" t="n">
        <v>0.0009</v>
      </c>
      <c r="J91" s="16" t="n">
        <f aca="false">IFERROR(INDEX('Como ler'!$B$20:$B$24,MATCH(H91,'Como ler'!$A$20:$A$24,0)),"")</f>
        <v>0.025</v>
      </c>
      <c r="K91" s="17" t="n">
        <f aca="false">IF(OR(I91="",J91=""),"",I91/J91)</f>
        <v>0.036</v>
      </c>
      <c r="L91" s="14" t="n">
        <v>36</v>
      </c>
      <c r="M91" s="18" t="n">
        <v>2.4</v>
      </c>
      <c r="N91" s="14" t="n">
        <v>222</v>
      </c>
      <c r="O91" s="17" t="n">
        <f aca="false">IF(OR(N91="",G91=0),"",N91/G91)</f>
        <v>0.009995497523638</v>
      </c>
      <c r="P91" s="19" t="n">
        <v>1</v>
      </c>
      <c r="Q91" s="20" t="n">
        <v>6.2</v>
      </c>
      <c r="R91" s="21" t="n">
        <v>46292</v>
      </c>
      <c r="S91" s="22" t="n">
        <f aca="false">IF(R91="","",'Como ler'!$B$27-R91)</f>
        <v>0</v>
      </c>
      <c r="T91" s="13" t="n">
        <v>0</v>
      </c>
      <c r="U91" s="13"/>
      <c r="V91" s="13" t="s">
        <v>48</v>
      </c>
      <c r="W91" s="13" t="s">
        <v>678</v>
      </c>
      <c r="X91" s="25" t="s">
        <v>104</v>
      </c>
      <c r="Y91" s="13" t="n">
        <f aca="false">ROUND(IF(K91="",0,MIN(40,40*K91/1.5))+IF(S91="",0,IF(S91&lt;=7,20,IF(S91&lt;=30,12,IF(S91&lt;=90,5,0))))+IF(Q91="",0,MIN(15,Q91*5))+IF(O91="",0,MIN(15,O91*30))+IF(E91="Criador(a)",10,IF(E91="Especialista que cria conteúdo",6,4)),0)</f>
        <v>46</v>
      </c>
      <c r="Z91" s="13" t="s">
        <v>679</v>
      </c>
      <c r="AA91" s="13"/>
      <c r="AB91" s="13" t="s">
        <v>113</v>
      </c>
      <c r="AC91" s="13"/>
      <c r="AD91" s="13" t="s">
        <v>680</v>
      </c>
      <c r="AE91" s="13" t="s">
        <v>681</v>
      </c>
      <c r="AF91" s="13" t="s">
        <v>682</v>
      </c>
      <c r="AG91" s="24" t="s">
        <v>683</v>
      </c>
      <c r="AH91" s="13" t="s">
        <v>100</v>
      </c>
      <c r="AI91" s="13"/>
    </row>
    <row r="92" customFormat="false" ht="15" hidden="false" customHeight="false" outlineLevel="0" collapsed="false">
      <c r="A92" s="13" t="s">
        <v>36</v>
      </c>
      <c r="B92" s="13"/>
      <c r="C92" s="13" t="s">
        <v>684</v>
      </c>
      <c r="D92" s="13" t="s">
        <v>685</v>
      </c>
      <c r="E92" s="13" t="s">
        <v>200</v>
      </c>
      <c r="F92" s="13" t="s">
        <v>201</v>
      </c>
      <c r="G92" s="14" t="n">
        <v>20487</v>
      </c>
      <c r="H92" s="13" t="s">
        <v>19</v>
      </c>
      <c r="I92" s="15" t="n">
        <v>0.001</v>
      </c>
      <c r="J92" s="16" t="n">
        <f aca="false">IFERROR(INDEX('Como ler'!$B$20:$B$24,MATCH(H92,'Como ler'!$A$20:$A$24,0)),"")</f>
        <v>0.025</v>
      </c>
      <c r="K92" s="17" t="n">
        <f aca="false">IF(OR(I92="",J92=""),"",I92/J92)</f>
        <v>0.04</v>
      </c>
      <c r="L92" s="14" t="n">
        <v>22</v>
      </c>
      <c r="M92" s="18" t="n">
        <v>2.1</v>
      </c>
      <c r="N92" s="14" t="n">
        <v>305</v>
      </c>
      <c r="O92" s="17" t="n">
        <f aca="false">IF(OR(N92="",G92=0),"",N92/G92)</f>
        <v>0.0148874896275687</v>
      </c>
      <c r="P92" s="19" t="n">
        <v>0.56</v>
      </c>
      <c r="Q92" s="20" t="n">
        <v>4.7</v>
      </c>
      <c r="R92" s="21" t="n">
        <v>46292</v>
      </c>
      <c r="S92" s="22" t="n">
        <f aca="false">IF(R92="","",'Como ler'!$B$27-R92)</f>
        <v>0</v>
      </c>
      <c r="T92" s="13" t="n">
        <v>0</v>
      </c>
      <c r="U92" s="13"/>
      <c r="V92" s="13" t="s">
        <v>47</v>
      </c>
      <c r="W92" s="13" t="s">
        <v>686</v>
      </c>
      <c r="X92" s="25" t="s">
        <v>104</v>
      </c>
      <c r="Y92" s="13" t="n">
        <f aca="false">ROUND(IF(K92="",0,MIN(40,40*K92/1.5))+IF(S92="",0,IF(S92&lt;=7,20,IF(S92&lt;=30,12,IF(S92&lt;=90,5,0))))+IF(Q92="",0,MIN(15,Q92*5))+IF(O92="",0,MIN(15,O92*30))+IF(E92="Criador(a)",10,IF(E92="Especialista que cria conteúdo",6,4)),0)</f>
        <v>41</v>
      </c>
      <c r="Z92" s="13" t="s">
        <v>159</v>
      </c>
      <c r="AA92" s="13"/>
      <c r="AB92" s="13" t="s">
        <v>113</v>
      </c>
      <c r="AC92" s="13"/>
      <c r="AD92" s="13" t="s">
        <v>510</v>
      </c>
      <c r="AE92" s="13" t="s">
        <v>687</v>
      </c>
      <c r="AF92" s="13" t="s">
        <v>688</v>
      </c>
      <c r="AG92" s="24" t="s">
        <v>689</v>
      </c>
      <c r="AH92" s="13" t="s">
        <v>100</v>
      </c>
      <c r="AI92" s="13"/>
    </row>
    <row r="93" customFormat="false" ht="15" hidden="false" customHeight="false" outlineLevel="0" collapsed="false">
      <c r="A93" s="13" t="s">
        <v>36</v>
      </c>
      <c r="B93" s="13"/>
      <c r="C93" s="13" t="s">
        <v>690</v>
      </c>
      <c r="D93" s="13" t="s">
        <v>691</v>
      </c>
      <c r="E93" s="13" t="s">
        <v>30</v>
      </c>
      <c r="F93" s="13" t="s">
        <v>29</v>
      </c>
      <c r="G93" s="14" t="n">
        <v>19134</v>
      </c>
      <c r="H93" s="13" t="s">
        <v>19</v>
      </c>
      <c r="I93" s="15" t="n">
        <v>0.0013</v>
      </c>
      <c r="J93" s="16" t="n">
        <f aca="false">IFERROR(INDEX('Como ler'!$B$20:$B$24,MATCH(H93,'Como ler'!$A$20:$A$24,0)),"")</f>
        <v>0.025</v>
      </c>
      <c r="K93" s="17" t="n">
        <f aca="false">IF(OR(I93="",J93=""),"",I93/J93)</f>
        <v>0.052</v>
      </c>
      <c r="L93" s="14" t="n">
        <v>19</v>
      </c>
      <c r="M93" s="18" t="n">
        <v>7.9</v>
      </c>
      <c r="N93" s="14" t="n">
        <v>140</v>
      </c>
      <c r="O93" s="17" t="n">
        <f aca="false">IF(OR(N93="",G93=0),"",N93/G93)</f>
        <v>0.00731681822932999</v>
      </c>
      <c r="P93" s="19" t="n">
        <v>0.1</v>
      </c>
      <c r="Q93" s="20" t="n">
        <v>0.2</v>
      </c>
      <c r="R93" s="21" t="n">
        <v>46292</v>
      </c>
      <c r="S93" s="22" t="n">
        <f aca="false">IF(R93="","",'Como ler'!$B$27-R93)</f>
        <v>0</v>
      </c>
      <c r="T93" s="13" t="n">
        <v>0</v>
      </c>
      <c r="U93" s="13"/>
      <c r="V93" s="13" t="s">
        <v>46</v>
      </c>
      <c r="W93" s="13" t="s">
        <v>692</v>
      </c>
      <c r="X93" s="26" t="s">
        <v>129</v>
      </c>
      <c r="Y93" s="13" t="n">
        <f aca="false">ROUND(IF(K93="",0,MIN(40,40*K93/1.5))+IF(S93="",0,IF(S93&lt;=7,20,IF(S93&lt;=30,12,IF(S93&lt;=90,5,0))))+IF(Q93="",0,MIN(15,Q93*5))+IF(O93="",0,MIN(15,O93*30))+IF(E93="Criador(a)",10,IF(E93="Especialista que cria conteúdo",6,4)),0)</f>
        <v>33</v>
      </c>
      <c r="Z93" s="13" t="s">
        <v>105</v>
      </c>
      <c r="AA93" s="13"/>
      <c r="AB93" s="13"/>
      <c r="AC93" s="13"/>
      <c r="AD93" s="13" t="s">
        <v>693</v>
      </c>
      <c r="AE93" s="13" t="s">
        <v>694</v>
      </c>
      <c r="AF93" s="13"/>
      <c r="AG93" s="24" t="s">
        <v>695</v>
      </c>
      <c r="AH93" s="13" t="s">
        <v>100</v>
      </c>
      <c r="AI93" s="13"/>
    </row>
    <row r="94" customFormat="false" ht="15" hidden="false" customHeight="false" outlineLevel="0" collapsed="false">
      <c r="A94" s="13" t="s">
        <v>36</v>
      </c>
      <c r="B94" s="13"/>
      <c r="C94" s="13" t="s">
        <v>696</v>
      </c>
      <c r="D94" s="13" t="s">
        <v>697</v>
      </c>
      <c r="E94" s="13" t="s">
        <v>157</v>
      </c>
      <c r="F94" s="13" t="s">
        <v>29</v>
      </c>
      <c r="G94" s="14" t="n">
        <v>18373</v>
      </c>
      <c r="H94" s="13" t="s">
        <v>19</v>
      </c>
      <c r="I94" s="15" t="n">
        <v>0.0059</v>
      </c>
      <c r="J94" s="16" t="n">
        <f aca="false">IFERROR(INDEX('Como ler'!$B$20:$B$24,MATCH(H94,'Como ler'!$A$20:$A$24,0)),"")</f>
        <v>0.025</v>
      </c>
      <c r="K94" s="17" t="n">
        <f aca="false">IF(OR(I94="",J94=""),"",I94/J94)</f>
        <v>0.236</v>
      </c>
      <c r="L94" s="14" t="n">
        <v>98</v>
      </c>
      <c r="M94" s="18" t="n">
        <v>16.1</v>
      </c>
      <c r="N94" s="14" t="n">
        <v>893</v>
      </c>
      <c r="O94" s="17" t="n">
        <f aca="false">IF(OR(N94="",G94=0),"",N94/G94)</f>
        <v>0.0486039296794209</v>
      </c>
      <c r="P94" s="19" t="n">
        <v>0.1</v>
      </c>
      <c r="Q94" s="20" t="n">
        <v>0.2</v>
      </c>
      <c r="R94" s="21" t="n">
        <v>46290</v>
      </c>
      <c r="S94" s="22" t="n">
        <f aca="false">IF(R94="","",'Como ler'!$B$27-R94)</f>
        <v>2</v>
      </c>
      <c r="T94" s="13" t="n">
        <v>0</v>
      </c>
      <c r="U94" s="13"/>
      <c r="V94" s="13" t="s">
        <v>43</v>
      </c>
      <c r="W94" s="13" t="s">
        <v>698</v>
      </c>
      <c r="X94" s="26" t="s">
        <v>129</v>
      </c>
      <c r="Y94" s="13" t="n">
        <f aca="false">ROUND(IF(K94="",0,MIN(40,40*K94/1.5))+IF(S94="",0,IF(S94&lt;=7,20,IF(S94&lt;=30,12,IF(S94&lt;=90,5,0))))+IF(Q94="",0,MIN(15,Q94*5))+IF(O94="",0,MIN(15,O94*30))+IF(E94="Criador(a)",10,IF(E94="Especialista que cria conteúdo",6,4)),0)</f>
        <v>35</v>
      </c>
      <c r="Z94" s="13"/>
      <c r="AA94" s="13"/>
      <c r="AB94" s="13" t="s">
        <v>113</v>
      </c>
      <c r="AC94" s="13"/>
      <c r="AD94" s="13" t="s">
        <v>523</v>
      </c>
      <c r="AE94" s="13" t="s">
        <v>699</v>
      </c>
      <c r="AF94" s="13" t="s">
        <v>700</v>
      </c>
      <c r="AG94" s="24" t="s">
        <v>701</v>
      </c>
      <c r="AH94" s="13" t="s">
        <v>100</v>
      </c>
      <c r="AI94" s="13"/>
    </row>
    <row r="95" customFormat="false" ht="15" hidden="false" customHeight="false" outlineLevel="0" collapsed="false">
      <c r="A95" s="13" t="s">
        <v>36</v>
      </c>
      <c r="B95" s="13"/>
      <c r="C95" s="13" t="s">
        <v>702</v>
      </c>
      <c r="D95" s="13" t="s">
        <v>703</v>
      </c>
      <c r="E95" s="13" t="s">
        <v>157</v>
      </c>
      <c r="F95" s="13" t="s">
        <v>29</v>
      </c>
      <c r="G95" s="14" t="n">
        <v>16144</v>
      </c>
      <c r="H95" s="13" t="s">
        <v>19</v>
      </c>
      <c r="I95" s="15" t="n">
        <v>0.0022</v>
      </c>
      <c r="J95" s="16" t="n">
        <f aca="false">IFERROR(INDEX('Como ler'!$B$20:$B$24,MATCH(H95,'Como ler'!$A$20:$A$24,0)),"")</f>
        <v>0.025</v>
      </c>
      <c r="K95" s="17" t="n">
        <f aca="false">IF(OR(I95="",J95=""),"",I95/J95)</f>
        <v>0.088</v>
      </c>
      <c r="L95" s="14" t="n">
        <v>27</v>
      </c>
      <c r="M95" s="18" t="n">
        <v>4.7</v>
      </c>
      <c r="N95" s="14" t="n">
        <v>273</v>
      </c>
      <c r="O95" s="17" t="n">
        <f aca="false">IF(OR(N95="",G95=0),"",N95/G95)</f>
        <v>0.016910307234886</v>
      </c>
      <c r="P95" s="19" t="n">
        <v>0.67</v>
      </c>
      <c r="Q95" s="20" t="n">
        <v>0.5</v>
      </c>
      <c r="R95" s="21" t="n">
        <v>46254</v>
      </c>
      <c r="S95" s="22" t="n">
        <f aca="false">IF(R95="","",'Como ler'!$B$27-R95)</f>
        <v>38</v>
      </c>
      <c r="T95" s="13" t="n">
        <v>0</v>
      </c>
      <c r="U95" s="13"/>
      <c r="V95" s="13" t="s">
        <v>45</v>
      </c>
      <c r="W95" s="13" t="s">
        <v>45</v>
      </c>
      <c r="X95" s="25" t="s">
        <v>104</v>
      </c>
      <c r="Y95" s="13" t="n">
        <f aca="false">ROUND(IF(K95="",0,MIN(40,40*K95/1.5))+IF(S95="",0,IF(S95&lt;=7,20,IF(S95&lt;=30,12,IF(S95&lt;=90,5,0))))+IF(Q95="",0,MIN(15,Q95*5))+IF(O95="",0,MIN(15,O95*30))+IF(E95="Criador(a)",10,IF(E95="Especialista que cria conteúdo",6,4)),0)</f>
        <v>16</v>
      </c>
      <c r="Z95" s="13"/>
      <c r="AA95" s="13"/>
      <c r="AB95" s="13"/>
      <c r="AC95" s="13"/>
      <c r="AD95" s="13" t="s">
        <v>578</v>
      </c>
      <c r="AE95" s="13" t="s">
        <v>704</v>
      </c>
      <c r="AF95" s="13" t="s">
        <v>705</v>
      </c>
      <c r="AG95" s="24" t="s">
        <v>706</v>
      </c>
      <c r="AH95" s="13" t="s">
        <v>100</v>
      </c>
      <c r="AI95" s="13"/>
    </row>
    <row r="96" customFormat="false" ht="15" hidden="false" customHeight="false" outlineLevel="0" collapsed="false">
      <c r="A96" s="13" t="s">
        <v>36</v>
      </c>
      <c r="B96" s="13"/>
      <c r="C96" s="13" t="s">
        <v>707</v>
      </c>
      <c r="D96" s="13" t="s">
        <v>708</v>
      </c>
      <c r="E96" s="13" t="s">
        <v>157</v>
      </c>
      <c r="F96" s="13" t="s">
        <v>28</v>
      </c>
      <c r="G96" s="14" t="n">
        <v>16024</v>
      </c>
      <c r="H96" s="13" t="s">
        <v>19</v>
      </c>
      <c r="I96" s="15" t="n">
        <v>0.0107</v>
      </c>
      <c r="J96" s="16" t="n">
        <f aca="false">IFERROR(INDEX('Como ler'!$B$20:$B$24,MATCH(H96,'Como ler'!$A$20:$A$24,0)),"")</f>
        <v>0.025</v>
      </c>
      <c r="K96" s="17" t="n">
        <f aca="false">IF(OR(I96="",J96=""),"",I96/J96)</f>
        <v>0.428</v>
      </c>
      <c r="L96" s="14" t="n">
        <v>250</v>
      </c>
      <c r="M96" s="18" t="n">
        <v>35.4</v>
      </c>
      <c r="N96" s="14" t="n">
        <v>2898</v>
      </c>
      <c r="O96" s="17" t="n">
        <f aca="false">IF(OR(N96="",G96=0),"",N96/G96)</f>
        <v>0.180853719420869</v>
      </c>
      <c r="P96" s="19" t="n">
        <v>0.78</v>
      </c>
      <c r="Q96" s="20" t="n">
        <v>1.5</v>
      </c>
      <c r="R96" s="21" t="n">
        <v>46288</v>
      </c>
      <c r="S96" s="22" t="n">
        <f aca="false">IF(R96="","",'Como ler'!$B$27-R96)</f>
        <v>4</v>
      </c>
      <c r="T96" s="13" t="n">
        <v>0</v>
      </c>
      <c r="U96" s="13"/>
      <c r="V96" s="13" t="s">
        <v>44</v>
      </c>
      <c r="W96" s="13" t="s">
        <v>44</v>
      </c>
      <c r="X96" s="26" t="s">
        <v>129</v>
      </c>
      <c r="Y96" s="13" t="n">
        <f aca="false">ROUND(IF(K96="",0,MIN(40,40*K96/1.5))+IF(S96="",0,IF(S96&lt;=7,20,IF(S96&lt;=30,12,IF(S96&lt;=90,5,0))))+IF(Q96="",0,MIN(15,Q96*5))+IF(O96="",0,MIN(15,O96*30))+IF(E96="Criador(a)",10,IF(E96="Especialista que cria conteúdo",6,4)),0)</f>
        <v>50</v>
      </c>
      <c r="Z96" s="13" t="s">
        <v>95</v>
      </c>
      <c r="AA96" s="13"/>
      <c r="AB96" s="13" t="s">
        <v>113</v>
      </c>
      <c r="AC96" s="13"/>
      <c r="AD96" s="13" t="s">
        <v>523</v>
      </c>
      <c r="AE96" s="13" t="s">
        <v>709</v>
      </c>
      <c r="AF96" s="13" t="s">
        <v>710</v>
      </c>
      <c r="AG96" s="24" t="s">
        <v>711</v>
      </c>
      <c r="AH96" s="13" t="s">
        <v>100</v>
      </c>
      <c r="AI96" s="13"/>
    </row>
    <row r="97" customFormat="false" ht="15" hidden="false" customHeight="false" outlineLevel="0" collapsed="false">
      <c r="A97" s="13" t="s">
        <v>36</v>
      </c>
      <c r="B97" s="13"/>
      <c r="C97" s="13" t="s">
        <v>712</v>
      </c>
      <c r="D97" s="13" t="s">
        <v>713</v>
      </c>
      <c r="E97" s="13" t="s">
        <v>30</v>
      </c>
      <c r="F97" s="13" t="s">
        <v>28</v>
      </c>
      <c r="G97" s="14" t="n">
        <v>14144</v>
      </c>
      <c r="H97" s="13" t="s">
        <v>19</v>
      </c>
      <c r="I97" s="15" t="n">
        <v>0.0008</v>
      </c>
      <c r="J97" s="16" t="n">
        <f aca="false">IFERROR(INDEX('Como ler'!$B$20:$B$24,MATCH(H97,'Como ler'!$A$20:$A$24,0)),"")</f>
        <v>0.025</v>
      </c>
      <c r="K97" s="17" t="n">
        <f aca="false">IF(OR(I97="",J97=""),"",I97/J97)</f>
        <v>0.032</v>
      </c>
      <c r="L97" s="14" t="n">
        <v>14</v>
      </c>
      <c r="M97" s="18" t="n">
        <v>1.7</v>
      </c>
      <c r="N97" s="14" t="n">
        <v>168</v>
      </c>
      <c r="O97" s="17" t="n">
        <f aca="false">IF(OR(N97="",G97=0),"",N97/G97)</f>
        <v>0.0118778280542986</v>
      </c>
      <c r="P97" s="19" t="n">
        <v>1</v>
      </c>
      <c r="Q97" s="20" t="n">
        <v>1.2</v>
      </c>
      <c r="R97" s="21" t="n">
        <v>46292</v>
      </c>
      <c r="S97" s="22" t="n">
        <f aca="false">IF(R97="","",'Como ler'!$B$27-R97)</f>
        <v>0</v>
      </c>
      <c r="T97" s="13" t="n">
        <v>0</v>
      </c>
      <c r="U97" s="13"/>
      <c r="V97" s="13" t="s">
        <v>55</v>
      </c>
      <c r="W97" s="13" t="s">
        <v>714</v>
      </c>
      <c r="X97" s="26" t="s">
        <v>129</v>
      </c>
      <c r="Y97" s="13" t="n">
        <f aca="false">ROUND(IF(K97="",0,MIN(40,40*K97/1.5))+IF(S97="",0,IF(S97&lt;=7,20,IF(S97&lt;=30,12,IF(S97&lt;=90,5,0))))+IF(Q97="",0,MIN(15,Q97*5))+IF(O97="",0,MIN(15,O97*30))+IF(E97="Criador(a)",10,IF(E97="Especialista que cria conteúdo",6,4)),0)</f>
        <v>37</v>
      </c>
      <c r="Z97" s="13"/>
      <c r="AA97" s="13"/>
      <c r="AB97" s="13" t="s">
        <v>113</v>
      </c>
      <c r="AC97" s="13" t="s">
        <v>114</v>
      </c>
      <c r="AD97" s="13" t="s">
        <v>641</v>
      </c>
      <c r="AE97" s="13" t="s">
        <v>715</v>
      </c>
      <c r="AF97" s="13" t="s">
        <v>716</v>
      </c>
      <c r="AG97" s="24" t="s">
        <v>717</v>
      </c>
      <c r="AH97" s="13" t="s">
        <v>100</v>
      </c>
      <c r="AI97" s="13"/>
    </row>
    <row r="98" customFormat="false" ht="15" hidden="false" customHeight="false" outlineLevel="0" collapsed="false">
      <c r="A98" s="13" t="s">
        <v>36</v>
      </c>
      <c r="B98" s="13"/>
      <c r="C98" s="13" t="s">
        <v>718</v>
      </c>
      <c r="D98" s="13" t="s">
        <v>719</v>
      </c>
      <c r="E98" s="13" t="s">
        <v>157</v>
      </c>
      <c r="F98" s="13" t="s">
        <v>28</v>
      </c>
      <c r="G98" s="14" t="n">
        <v>12333</v>
      </c>
      <c r="H98" s="13" t="s">
        <v>19</v>
      </c>
      <c r="I98" s="15" t="n">
        <v>0.004</v>
      </c>
      <c r="J98" s="16" t="n">
        <f aca="false">IFERROR(INDEX('Como ler'!$B$20:$B$24,MATCH(H98,'Como ler'!$A$20:$A$24,0)),"")</f>
        <v>0.025</v>
      </c>
      <c r="K98" s="17" t="n">
        <f aca="false">IF(OR(I98="",J98=""),"",I98/J98)</f>
        <v>0.16</v>
      </c>
      <c r="L98" s="14" t="n">
        <v>57</v>
      </c>
      <c r="M98" s="18" t="n">
        <v>5</v>
      </c>
      <c r="N98" s="14" t="n">
        <v>307</v>
      </c>
      <c r="O98" s="17" t="n">
        <f aca="false">IF(OR(N98="",G98=0),"",N98/G98)</f>
        <v>0.0248925646639098</v>
      </c>
      <c r="P98" s="19" t="n">
        <v>0.67</v>
      </c>
      <c r="Q98" s="20" t="n">
        <v>4.7</v>
      </c>
      <c r="R98" s="21" t="n">
        <v>46280</v>
      </c>
      <c r="S98" s="22" t="n">
        <f aca="false">IF(R98="","",'Como ler'!$B$27-R98)</f>
        <v>12</v>
      </c>
      <c r="T98" s="13" t="n">
        <v>0</v>
      </c>
      <c r="U98" s="13"/>
      <c r="V98" s="13" t="s">
        <v>52</v>
      </c>
      <c r="W98" s="13" t="s">
        <v>596</v>
      </c>
      <c r="X98" s="23" t="s">
        <v>94</v>
      </c>
      <c r="Y98" s="13" t="n">
        <f aca="false">ROUND(IF(K98="",0,MIN(40,40*K98/1.5))+IF(S98="",0,IF(S98&lt;=7,20,IF(S98&lt;=30,12,IF(S98&lt;=90,5,0))))+IF(Q98="",0,MIN(15,Q98*5))+IF(O98="",0,MIN(15,O98*30))+IF(E98="Criador(a)",10,IF(E98="Especialista que cria conteúdo",6,4)),0)</f>
        <v>38</v>
      </c>
      <c r="Z98" s="13"/>
      <c r="AA98" s="13" t="s">
        <v>113</v>
      </c>
      <c r="AB98" s="13" t="s">
        <v>113</v>
      </c>
      <c r="AC98" s="13"/>
      <c r="AD98" s="13" t="s">
        <v>720</v>
      </c>
      <c r="AE98" s="13" t="s">
        <v>721</v>
      </c>
      <c r="AF98" s="13" t="s">
        <v>722</v>
      </c>
      <c r="AG98" s="24" t="s">
        <v>723</v>
      </c>
      <c r="AH98" s="13" t="s">
        <v>100</v>
      </c>
      <c r="AI98" s="13"/>
    </row>
    <row r="99" customFormat="false" ht="15" hidden="false" customHeight="false" outlineLevel="0" collapsed="false">
      <c r="A99" s="13" t="s">
        <v>36</v>
      </c>
      <c r="B99" s="13"/>
      <c r="C99" s="13" t="s">
        <v>724</v>
      </c>
      <c r="D99" s="13" t="s">
        <v>725</v>
      </c>
      <c r="E99" s="13" t="s">
        <v>157</v>
      </c>
      <c r="F99" s="13" t="s">
        <v>29</v>
      </c>
      <c r="G99" s="14" t="n">
        <v>12154</v>
      </c>
      <c r="H99" s="13" t="s">
        <v>19</v>
      </c>
      <c r="I99" s="15" t="n">
        <v>0.0035</v>
      </c>
      <c r="J99" s="16" t="n">
        <f aca="false">IFERROR(INDEX('Como ler'!$B$20:$B$24,MATCH(H99,'Como ler'!$A$20:$A$24,0)),"")</f>
        <v>0.025</v>
      </c>
      <c r="K99" s="17" t="n">
        <f aca="false">IF(OR(I99="",J99=""),"",I99/J99)</f>
        <v>0.14</v>
      </c>
      <c r="L99" s="14" t="n">
        <v>65</v>
      </c>
      <c r="M99" s="18" t="n">
        <v>0.8</v>
      </c>
      <c r="N99" s="14" t="n">
        <v>510</v>
      </c>
      <c r="O99" s="17" t="n">
        <f aca="false">IF(OR(N99="",G99=0),"",N99/G99)</f>
        <v>0.0419614941583018</v>
      </c>
      <c r="P99" s="19" t="n">
        <v>0.67</v>
      </c>
      <c r="Q99" s="20" t="n">
        <v>0.1</v>
      </c>
      <c r="R99" s="21" t="n">
        <v>46218</v>
      </c>
      <c r="S99" s="22" t="n">
        <f aca="false">IF(R99="","",'Como ler'!$B$27-R99)</f>
        <v>74</v>
      </c>
      <c r="T99" s="13" t="n">
        <v>0</v>
      </c>
      <c r="U99" s="13"/>
      <c r="V99" s="13" t="s">
        <v>45</v>
      </c>
      <c r="W99" s="13" t="s">
        <v>726</v>
      </c>
      <c r="X99" s="26" t="s">
        <v>129</v>
      </c>
      <c r="Y99" s="13" t="n">
        <f aca="false">ROUND(IF(K99="",0,MIN(40,40*K99/1.5))+IF(S99="",0,IF(S99&lt;=7,20,IF(S99&lt;=30,12,IF(S99&lt;=90,5,0))))+IF(Q99="",0,MIN(15,Q99*5))+IF(O99="",0,MIN(15,O99*30))+IF(E99="Criador(a)",10,IF(E99="Especialista que cria conteúdo",6,4)),0)</f>
        <v>16</v>
      </c>
      <c r="Z99" s="13"/>
      <c r="AA99" s="13"/>
      <c r="AB99" s="13" t="s">
        <v>113</v>
      </c>
      <c r="AC99" s="13"/>
      <c r="AD99" s="13" t="s">
        <v>523</v>
      </c>
      <c r="AE99" s="13" t="s">
        <v>727</v>
      </c>
      <c r="AF99" s="13" t="s">
        <v>728</v>
      </c>
      <c r="AG99" s="24" t="s">
        <v>729</v>
      </c>
      <c r="AH99" s="13" t="s">
        <v>100</v>
      </c>
      <c r="AI99" s="13"/>
    </row>
    <row r="100" customFormat="false" ht="15" hidden="false" customHeight="false" outlineLevel="0" collapsed="false">
      <c r="A100" s="13" t="s">
        <v>36</v>
      </c>
      <c r="B100" s="13"/>
      <c r="C100" s="13" t="s">
        <v>730</v>
      </c>
      <c r="D100" s="13" t="s">
        <v>731</v>
      </c>
      <c r="E100" s="13" t="s">
        <v>157</v>
      </c>
      <c r="F100" s="13" t="s">
        <v>28</v>
      </c>
      <c r="G100" s="14" t="n">
        <v>11685</v>
      </c>
      <c r="H100" s="13" t="s">
        <v>19</v>
      </c>
      <c r="I100" s="15" t="n">
        <v>0.005</v>
      </c>
      <c r="J100" s="16" t="n">
        <f aca="false">IFERROR(INDEX('Como ler'!$B$20:$B$24,MATCH(H100,'Como ler'!$A$20:$A$24,0)),"")</f>
        <v>0.025</v>
      </c>
      <c r="K100" s="17" t="n">
        <f aca="false">IF(OR(I100="",J100=""),"",I100/J100)</f>
        <v>0.2</v>
      </c>
      <c r="L100" s="14" t="n">
        <v>42</v>
      </c>
      <c r="M100" s="18" t="n">
        <v>14.2</v>
      </c>
      <c r="N100" s="14" t="n">
        <v>334</v>
      </c>
      <c r="O100" s="17" t="n">
        <f aca="false">IF(OR(N100="",G100=0),"",N100/G100)</f>
        <v>0.0285836542575952</v>
      </c>
      <c r="P100" s="19" t="n">
        <v>0.11</v>
      </c>
      <c r="Q100" s="20" t="n">
        <v>4.3</v>
      </c>
      <c r="R100" s="21" t="n">
        <v>46292</v>
      </c>
      <c r="S100" s="22" t="n">
        <f aca="false">IF(R100="","",'Como ler'!$B$27-R100)</f>
        <v>0</v>
      </c>
      <c r="T100" s="13" t="n">
        <v>0</v>
      </c>
      <c r="U100" s="13"/>
      <c r="V100" s="13"/>
      <c r="W100" s="13"/>
      <c r="X100" s="25" t="s">
        <v>104</v>
      </c>
      <c r="Y100" s="13" t="n">
        <f aca="false">ROUND(IF(K100="",0,MIN(40,40*K100/1.5))+IF(S100="",0,IF(S100&lt;=7,20,IF(S100&lt;=30,12,IF(S100&lt;=90,5,0))))+IF(Q100="",0,MIN(15,Q100*5))+IF(O100="",0,MIN(15,O100*30))+IF(E100="Criador(a)",10,IF(E100="Especialista que cria conteúdo",6,4)),0)</f>
        <v>47</v>
      </c>
      <c r="Z100" s="13" t="s">
        <v>105</v>
      </c>
      <c r="AA100" s="13" t="s">
        <v>113</v>
      </c>
      <c r="AB100" s="13" t="s">
        <v>113</v>
      </c>
      <c r="AC100" s="13"/>
      <c r="AD100" s="13" t="s">
        <v>565</v>
      </c>
      <c r="AE100" s="13" t="s">
        <v>732</v>
      </c>
      <c r="AF100" s="13" t="s">
        <v>733</v>
      </c>
      <c r="AG100" s="24" t="s">
        <v>734</v>
      </c>
      <c r="AH100" s="13" t="s">
        <v>100</v>
      </c>
      <c r="AI100" s="13"/>
    </row>
    <row r="101" customFormat="false" ht="15" hidden="false" customHeight="false" outlineLevel="0" collapsed="false">
      <c r="A101" s="13" t="s">
        <v>36</v>
      </c>
      <c r="B101" s="13"/>
      <c r="C101" s="13" t="s">
        <v>735</v>
      </c>
      <c r="D101" s="13" t="s">
        <v>736</v>
      </c>
      <c r="E101" s="13" t="s">
        <v>157</v>
      </c>
      <c r="F101" s="13" t="s">
        <v>29</v>
      </c>
      <c r="G101" s="14" t="n">
        <v>10651</v>
      </c>
      <c r="H101" s="13" t="s">
        <v>19</v>
      </c>
      <c r="I101" s="15" t="n">
        <v>0.0039</v>
      </c>
      <c r="J101" s="16" t="n">
        <f aca="false">IFERROR(INDEX('Como ler'!$B$20:$B$24,MATCH(H101,'Como ler'!$A$20:$A$24,0)),"")</f>
        <v>0.025</v>
      </c>
      <c r="K101" s="17" t="n">
        <f aca="false">IF(OR(I101="",J101=""),"",I101/J101)</f>
        <v>0.156</v>
      </c>
      <c r="L101" s="14" t="n">
        <v>57</v>
      </c>
      <c r="M101" s="18" t="n">
        <v>5.4</v>
      </c>
      <c r="N101" s="14" t="n">
        <v>4049</v>
      </c>
      <c r="O101" s="17" t="n">
        <f aca="false">IF(OR(N101="",G101=0),"",N101/G101)</f>
        <v>0.380152098394517</v>
      </c>
      <c r="P101" s="19" t="n">
        <v>0.67</v>
      </c>
      <c r="Q101" s="20" t="n">
        <v>0.2</v>
      </c>
      <c r="R101" s="21" t="n">
        <v>46289</v>
      </c>
      <c r="S101" s="22" t="n">
        <f aca="false">IF(R101="","",'Como ler'!$B$27-R101)</f>
        <v>3</v>
      </c>
      <c r="T101" s="13" t="n">
        <v>0</v>
      </c>
      <c r="U101" s="13"/>
      <c r="V101" s="13" t="s">
        <v>45</v>
      </c>
      <c r="W101" s="13" t="s">
        <v>45</v>
      </c>
      <c r="X101" s="25" t="s">
        <v>104</v>
      </c>
      <c r="Y101" s="13" t="n">
        <f aca="false">ROUND(IF(K101="",0,MIN(40,40*K101/1.5))+IF(S101="",0,IF(S101&lt;=7,20,IF(S101&lt;=30,12,IF(S101&lt;=90,5,0))))+IF(Q101="",0,MIN(15,Q101*5))+IF(O101="",0,MIN(15,O101*30))+IF(E101="Criador(a)",10,IF(E101="Especialista que cria conteúdo",6,4)),0)</f>
        <v>43</v>
      </c>
      <c r="Z101" s="13" t="s">
        <v>95</v>
      </c>
      <c r="AA101" s="13"/>
      <c r="AB101" s="13" t="s">
        <v>113</v>
      </c>
      <c r="AC101" s="13"/>
      <c r="AD101" s="13" t="s">
        <v>737</v>
      </c>
      <c r="AE101" s="13" t="s">
        <v>738</v>
      </c>
      <c r="AF101" s="13" t="s">
        <v>739</v>
      </c>
      <c r="AG101" s="24" t="s">
        <v>740</v>
      </c>
      <c r="AH101" s="13" t="s">
        <v>100</v>
      </c>
      <c r="AI101" s="13"/>
    </row>
    <row r="102" customFormat="false" ht="15" hidden="false" customHeight="false" outlineLevel="0" collapsed="false">
      <c r="A102" s="13" t="s">
        <v>36</v>
      </c>
      <c r="B102" s="13"/>
      <c r="C102" s="13" t="s">
        <v>741</v>
      </c>
      <c r="D102" s="13" t="s">
        <v>742</v>
      </c>
      <c r="E102" s="13" t="s">
        <v>30</v>
      </c>
      <c r="F102" s="13" t="s">
        <v>28</v>
      </c>
      <c r="G102" s="14" t="n">
        <v>9774</v>
      </c>
      <c r="H102" s="13" t="s">
        <v>19</v>
      </c>
      <c r="I102" s="15" t="n">
        <v>0.0047</v>
      </c>
      <c r="J102" s="16" t="n">
        <f aca="false">IFERROR(INDEX('Como ler'!$B$20:$B$24,MATCH(H102,'Como ler'!$A$20:$A$24,0)),"")</f>
        <v>0.025</v>
      </c>
      <c r="K102" s="17" t="n">
        <f aca="false">IF(OR(I102="",J102=""),"",I102/J102)</f>
        <v>0.188</v>
      </c>
      <c r="L102" s="14" t="n">
        <v>46</v>
      </c>
      <c r="M102" s="18" t="n">
        <v>10.1</v>
      </c>
      <c r="N102" s="14" t="n">
        <v>368</v>
      </c>
      <c r="O102" s="17" t="n">
        <f aca="false">IF(OR(N102="",G102=0),"",N102/G102)</f>
        <v>0.0376509105790874</v>
      </c>
      <c r="P102" s="19" t="n">
        <v>0.33</v>
      </c>
      <c r="Q102" s="20" t="n">
        <v>0.1</v>
      </c>
      <c r="R102" s="21" t="n">
        <v>46236</v>
      </c>
      <c r="S102" s="22" t="n">
        <f aca="false">IF(R102="","",'Como ler'!$B$27-R102)</f>
        <v>56</v>
      </c>
      <c r="T102" s="13" t="n">
        <v>0</v>
      </c>
      <c r="U102" s="13"/>
      <c r="V102" s="13" t="s">
        <v>53</v>
      </c>
      <c r="W102" s="13" t="s">
        <v>743</v>
      </c>
      <c r="X102" s="26" t="s">
        <v>129</v>
      </c>
      <c r="Y102" s="13" t="n">
        <f aca="false">ROUND(IF(K102="",0,MIN(40,40*K102/1.5))+IF(S102="",0,IF(S102&lt;=7,20,IF(S102&lt;=30,12,IF(S102&lt;=90,5,0))))+IF(Q102="",0,MIN(15,Q102*5))+IF(O102="",0,MIN(15,O102*30))+IF(E102="Criador(a)",10,IF(E102="Especialista que cria conteúdo",6,4)),0)</f>
        <v>22</v>
      </c>
      <c r="Z102" s="13" t="s">
        <v>105</v>
      </c>
      <c r="AA102" s="13"/>
      <c r="AB102" s="13" t="s">
        <v>113</v>
      </c>
      <c r="AC102" s="13"/>
      <c r="AD102" s="13" t="s">
        <v>720</v>
      </c>
      <c r="AE102" s="13" t="s">
        <v>744</v>
      </c>
      <c r="AF102" s="13" t="s">
        <v>745</v>
      </c>
      <c r="AG102" s="24" t="s">
        <v>746</v>
      </c>
      <c r="AH102" s="13" t="s">
        <v>100</v>
      </c>
      <c r="AI102" s="13"/>
    </row>
    <row r="103" customFormat="false" ht="15" hidden="false" customHeight="false" outlineLevel="0" collapsed="false">
      <c r="A103" s="13" t="s">
        <v>36</v>
      </c>
      <c r="B103" s="13" t="s">
        <v>38</v>
      </c>
      <c r="C103" s="13" t="s">
        <v>747</v>
      </c>
      <c r="D103" s="13" t="s">
        <v>748</v>
      </c>
      <c r="E103" s="13" t="s">
        <v>30</v>
      </c>
      <c r="F103" s="13" t="s">
        <v>29</v>
      </c>
      <c r="G103" s="14" t="n">
        <v>8065</v>
      </c>
      <c r="H103" s="13" t="s">
        <v>19</v>
      </c>
      <c r="I103" s="15" t="n">
        <v>0.0161</v>
      </c>
      <c r="J103" s="16" t="n">
        <f aca="false">IFERROR(INDEX('Como ler'!$B$20:$B$24,MATCH(H103,'Como ler'!$A$20:$A$24,0)),"")</f>
        <v>0.025</v>
      </c>
      <c r="K103" s="17" t="n">
        <f aca="false">IF(OR(I103="",J103=""),"",I103/J103)</f>
        <v>0.644</v>
      </c>
      <c r="L103" s="14" t="n">
        <v>102</v>
      </c>
      <c r="M103" s="18" t="n">
        <v>25.8</v>
      </c>
      <c r="N103" s="14" t="n">
        <v>844</v>
      </c>
      <c r="O103" s="17" t="n">
        <f aca="false">IF(OR(N103="",G103=0),"",N103/G103)</f>
        <v>0.104649721016739</v>
      </c>
      <c r="P103" s="19" t="n">
        <v>0.58</v>
      </c>
      <c r="Q103" s="20" t="n">
        <v>0.8</v>
      </c>
      <c r="R103" s="21" t="n">
        <v>46283</v>
      </c>
      <c r="S103" s="22" t="n">
        <f aca="false">IF(R103="","",'Como ler'!$B$27-R103)</f>
        <v>9</v>
      </c>
      <c r="T103" s="13" t="n">
        <v>0</v>
      </c>
      <c r="U103" s="13"/>
      <c r="V103" s="13" t="s">
        <v>45</v>
      </c>
      <c r="W103" s="13" t="s">
        <v>749</v>
      </c>
      <c r="X103" s="23" t="s">
        <v>94</v>
      </c>
      <c r="Y103" s="13" t="n">
        <f aca="false">ROUND(IF(K103="",0,MIN(40,40*K103/1.5))+IF(S103="",0,IF(S103&lt;=7,20,IF(S103&lt;=30,12,IF(S103&lt;=90,5,0))))+IF(Q103="",0,MIN(15,Q103*5))+IF(O103="",0,MIN(15,O103*30))+IF(E103="Criador(a)",10,IF(E103="Especialista que cria conteúdo",6,4)),0)</f>
        <v>46</v>
      </c>
      <c r="Z103" s="13" t="s">
        <v>355</v>
      </c>
      <c r="AA103" s="13"/>
      <c r="AB103" s="13"/>
      <c r="AC103" s="13"/>
      <c r="AD103" s="13" t="s">
        <v>750</v>
      </c>
      <c r="AE103" s="13" t="s">
        <v>751</v>
      </c>
      <c r="AF103" s="13" t="s">
        <v>752</v>
      </c>
      <c r="AG103" s="24" t="s">
        <v>753</v>
      </c>
      <c r="AH103" s="13" t="s">
        <v>100</v>
      </c>
      <c r="AI103" s="13"/>
    </row>
    <row r="104" customFormat="false" ht="15" hidden="false" customHeight="false" outlineLevel="0" collapsed="false">
      <c r="A104" s="13" t="s">
        <v>36</v>
      </c>
      <c r="B104" s="13"/>
      <c r="C104" s="13" t="s">
        <v>754</v>
      </c>
      <c r="D104" s="13" t="s">
        <v>755</v>
      </c>
      <c r="E104" s="13" t="s">
        <v>157</v>
      </c>
      <c r="F104" s="13" t="s">
        <v>28</v>
      </c>
      <c r="G104" s="14" t="n">
        <v>7768</v>
      </c>
      <c r="H104" s="13" t="s">
        <v>19</v>
      </c>
      <c r="I104" s="15" t="n">
        <v>0.0035</v>
      </c>
      <c r="J104" s="16" t="n">
        <f aca="false">IFERROR(INDEX('Como ler'!$B$20:$B$24,MATCH(H104,'Como ler'!$A$20:$A$24,0)),"")</f>
        <v>0.025</v>
      </c>
      <c r="K104" s="17" t="n">
        <f aca="false">IF(OR(I104="",J104=""),"",I104/J104)</f>
        <v>0.14</v>
      </c>
      <c r="L104" s="14" t="n">
        <v>58</v>
      </c>
      <c r="M104" s="18" t="n">
        <v>14.4</v>
      </c>
      <c r="N104" s="14" t="n">
        <v>291</v>
      </c>
      <c r="O104" s="17" t="n">
        <f aca="false">IF(OR(N104="",G104=0),"",N104/G104)</f>
        <v>0.0374613800205973</v>
      </c>
      <c r="P104" s="19" t="n">
        <v>0.55</v>
      </c>
      <c r="Q104" s="20" t="n">
        <v>0.1</v>
      </c>
      <c r="R104" s="21" t="n">
        <v>46290</v>
      </c>
      <c r="S104" s="22" t="n">
        <f aca="false">IF(R104="","",'Como ler'!$B$27-R104)</f>
        <v>2</v>
      </c>
      <c r="T104" s="13" t="n">
        <v>0</v>
      </c>
      <c r="U104" s="13"/>
      <c r="V104" s="13" t="s">
        <v>50</v>
      </c>
      <c r="W104" s="13" t="s">
        <v>589</v>
      </c>
      <c r="X104" s="23" t="s">
        <v>94</v>
      </c>
      <c r="Y104" s="13" t="n">
        <f aca="false">ROUND(IF(K104="",0,MIN(40,40*K104/1.5))+IF(S104="",0,IF(S104&lt;=7,20,IF(S104&lt;=30,12,IF(S104&lt;=90,5,0))))+IF(Q104="",0,MIN(15,Q104*5))+IF(O104="",0,MIN(15,O104*30))+IF(E104="Criador(a)",10,IF(E104="Especialista que cria conteúdo",6,4)),0)</f>
        <v>31</v>
      </c>
      <c r="Z104" s="13"/>
      <c r="AA104" s="13" t="s">
        <v>113</v>
      </c>
      <c r="AB104" s="13" t="s">
        <v>113</v>
      </c>
      <c r="AC104" s="13"/>
      <c r="AD104" s="13" t="s">
        <v>493</v>
      </c>
      <c r="AE104" s="13"/>
      <c r="AF104" s="13" t="s">
        <v>756</v>
      </c>
      <c r="AG104" s="24" t="s">
        <v>757</v>
      </c>
      <c r="AH104" s="13" t="s">
        <v>100</v>
      </c>
      <c r="AI104" s="13"/>
    </row>
    <row r="105" customFormat="false" ht="15" hidden="false" customHeight="false" outlineLevel="0" collapsed="false">
      <c r="A105" s="13" t="s">
        <v>36</v>
      </c>
      <c r="B105" s="13"/>
      <c r="C105" s="13" t="s">
        <v>758</v>
      </c>
      <c r="D105" s="13" t="s">
        <v>759</v>
      </c>
      <c r="E105" s="13" t="s">
        <v>157</v>
      </c>
      <c r="F105" s="13" t="s">
        <v>28</v>
      </c>
      <c r="G105" s="14" t="n">
        <v>7349</v>
      </c>
      <c r="H105" s="13" t="s">
        <v>19</v>
      </c>
      <c r="I105" s="15" t="n">
        <v>0.0244</v>
      </c>
      <c r="J105" s="16" t="n">
        <f aca="false">IFERROR(INDEX('Como ler'!$B$20:$B$24,MATCH(H105,'Como ler'!$A$20:$A$24,0)),"")</f>
        <v>0.025</v>
      </c>
      <c r="K105" s="17" t="n">
        <f aca="false">IF(OR(I105="",J105=""),"",I105/J105)</f>
        <v>0.976</v>
      </c>
      <c r="L105" s="14" t="n">
        <v>230</v>
      </c>
      <c r="M105" s="18" t="n">
        <v>16.7</v>
      </c>
      <c r="N105" s="14" t="n">
        <v>870</v>
      </c>
      <c r="O105" s="17" t="n">
        <f aca="false">IF(OR(N105="",G105=0),"",N105/G105)</f>
        <v>0.118383453531093</v>
      </c>
      <c r="P105" s="19" t="n">
        <v>0.11</v>
      </c>
      <c r="Q105" s="20" t="n">
        <v>1.2</v>
      </c>
      <c r="R105" s="21" t="n">
        <v>46285</v>
      </c>
      <c r="S105" s="22" t="n">
        <f aca="false">IF(R105="","",'Como ler'!$B$27-R105)</f>
        <v>7</v>
      </c>
      <c r="T105" s="13" t="n">
        <v>0</v>
      </c>
      <c r="U105" s="13"/>
      <c r="V105" s="13" t="s">
        <v>55</v>
      </c>
      <c r="W105" s="13" t="s">
        <v>760</v>
      </c>
      <c r="X105" s="26" t="s">
        <v>129</v>
      </c>
      <c r="Y105" s="13" t="n">
        <f aca="false">ROUND(IF(K105="",0,MIN(40,40*K105/1.5))+IF(S105="",0,IF(S105&lt;=7,20,IF(S105&lt;=30,12,IF(S105&lt;=90,5,0))))+IF(Q105="",0,MIN(15,Q105*5))+IF(O105="",0,MIN(15,O105*30))+IF(E105="Criador(a)",10,IF(E105="Especialista que cria conteúdo",6,4)),0)</f>
        <v>62</v>
      </c>
      <c r="Z105" s="13"/>
      <c r="AA105" s="13"/>
      <c r="AB105" s="13" t="s">
        <v>113</v>
      </c>
      <c r="AC105" s="13"/>
      <c r="AD105" s="13" t="s">
        <v>578</v>
      </c>
      <c r="AE105" s="13" t="s">
        <v>761</v>
      </c>
      <c r="AF105" s="13" t="s">
        <v>762</v>
      </c>
      <c r="AG105" s="24" t="s">
        <v>763</v>
      </c>
      <c r="AH105" s="13" t="s">
        <v>100</v>
      </c>
      <c r="AI105" s="13"/>
    </row>
    <row r="106" customFormat="false" ht="15" hidden="false" customHeight="false" outlineLevel="0" collapsed="false">
      <c r="A106" s="13" t="s">
        <v>36</v>
      </c>
      <c r="B106" s="13"/>
      <c r="C106" s="13" t="s">
        <v>764</v>
      </c>
      <c r="D106" s="13" t="s">
        <v>765</v>
      </c>
      <c r="E106" s="13" t="s">
        <v>30</v>
      </c>
      <c r="F106" s="13" t="s">
        <v>766</v>
      </c>
      <c r="G106" s="14" t="n">
        <v>7241</v>
      </c>
      <c r="H106" s="13" t="s">
        <v>19</v>
      </c>
      <c r="I106" s="15" t="n">
        <v>0.0327</v>
      </c>
      <c r="J106" s="16" t="n">
        <f aca="false">IFERROR(INDEX('Como ler'!$B$20:$B$24,MATCH(H106,'Como ler'!$A$20:$A$24,0)),"")</f>
        <v>0.025</v>
      </c>
      <c r="K106" s="17" t="n">
        <f aca="false">IF(OR(I106="",J106=""),"",I106/J106)</f>
        <v>1.308</v>
      </c>
      <c r="L106" s="14" t="n">
        <v>199</v>
      </c>
      <c r="M106" s="18" t="n">
        <v>9.7</v>
      </c>
      <c r="N106" s="14" t="n">
        <v>316</v>
      </c>
      <c r="O106" s="17" t="n">
        <f aca="false">IF(OR(N106="",G106=0),"",N106/G106)</f>
        <v>0.0436403811628228</v>
      </c>
      <c r="P106" s="19" t="n">
        <v>0.25</v>
      </c>
      <c r="Q106" s="20" t="n">
        <v>0.1</v>
      </c>
      <c r="R106" s="21" t="n">
        <v>45890</v>
      </c>
      <c r="S106" s="22" t="n">
        <f aca="false">IF(R106="","",'Como ler'!$B$27-R106)</f>
        <v>402</v>
      </c>
      <c r="T106" s="13" t="n">
        <v>1</v>
      </c>
      <c r="U106" s="13" t="s">
        <v>767</v>
      </c>
      <c r="V106" s="13"/>
      <c r="W106" s="13"/>
      <c r="X106" s="25" t="s">
        <v>104</v>
      </c>
      <c r="Y106" s="13" t="n">
        <f aca="false">ROUND(IF(K106="",0,MIN(40,40*K106/1.5))+IF(S106="",0,IF(S106&lt;=7,20,IF(S106&lt;=30,12,IF(S106&lt;=90,5,0))))+IF(Q106="",0,MIN(15,Q106*5))+IF(O106="",0,MIN(15,O106*30))+IF(E106="Criador(a)",10,IF(E106="Especialista que cria conteúdo",6,4)),0)</f>
        <v>47</v>
      </c>
      <c r="Z106" s="13" t="s">
        <v>105</v>
      </c>
      <c r="AA106" s="13"/>
      <c r="AB106" s="13"/>
      <c r="AC106" s="13"/>
      <c r="AD106" s="13" t="s">
        <v>565</v>
      </c>
      <c r="AE106" s="13" t="s">
        <v>591</v>
      </c>
      <c r="AF106" s="13" t="s">
        <v>768</v>
      </c>
      <c r="AG106" s="24" t="s">
        <v>769</v>
      </c>
      <c r="AH106" s="13" t="s">
        <v>100</v>
      </c>
      <c r="AI106" s="13" t="s">
        <v>119</v>
      </c>
    </row>
    <row r="107" customFormat="false" ht="15" hidden="false" customHeight="false" outlineLevel="0" collapsed="false">
      <c r="A107" s="13" t="s">
        <v>36</v>
      </c>
      <c r="B107" s="13" t="s">
        <v>35</v>
      </c>
      <c r="C107" s="13" t="s">
        <v>770</v>
      </c>
      <c r="D107" s="13" t="s">
        <v>771</v>
      </c>
      <c r="E107" s="13" t="s">
        <v>157</v>
      </c>
      <c r="F107" s="13" t="s">
        <v>28</v>
      </c>
      <c r="G107" s="14" t="n">
        <v>7004</v>
      </c>
      <c r="H107" s="13" t="s">
        <v>19</v>
      </c>
      <c r="I107" s="15" t="n">
        <v>0.0031</v>
      </c>
      <c r="J107" s="16" t="n">
        <f aca="false">IFERROR(INDEX('Como ler'!$B$20:$B$24,MATCH(H107,'Como ler'!$A$20:$A$24,0)),"")</f>
        <v>0.025</v>
      </c>
      <c r="K107" s="17" t="n">
        <f aca="false">IF(OR(I107="",J107=""),"",I107/J107)</f>
        <v>0.124</v>
      </c>
      <c r="L107" s="14" t="n">
        <v>26</v>
      </c>
      <c r="M107" s="18" t="n">
        <v>1.3</v>
      </c>
      <c r="N107" s="14" t="n">
        <v>172</v>
      </c>
      <c r="O107" s="17" t="n">
        <f aca="false">IF(OR(N107="",G107=0),"",N107/G107)</f>
        <v>0.0245573957738435</v>
      </c>
      <c r="P107" s="19" t="n">
        <v>0.78</v>
      </c>
      <c r="Q107" s="20" t="n">
        <v>2.2</v>
      </c>
      <c r="R107" s="21" t="n">
        <v>46288</v>
      </c>
      <c r="S107" s="22" t="n">
        <f aca="false">IF(R107="","",'Como ler'!$B$27-R107)</f>
        <v>4</v>
      </c>
      <c r="T107" s="13" t="n">
        <v>0</v>
      </c>
      <c r="U107" s="13"/>
      <c r="V107" s="13" t="s">
        <v>50</v>
      </c>
      <c r="W107" s="13" t="s">
        <v>772</v>
      </c>
      <c r="X107" s="23" t="s">
        <v>94</v>
      </c>
      <c r="Y107" s="13" t="n">
        <f aca="false">ROUND(IF(K107="",0,MIN(40,40*K107/1.5))+IF(S107="",0,IF(S107&lt;=7,20,IF(S107&lt;=30,12,IF(S107&lt;=90,5,0))))+IF(Q107="",0,MIN(15,Q107*5))+IF(O107="",0,MIN(15,O107*30))+IF(E107="Criador(a)",10,IF(E107="Especialista que cria conteúdo",6,4)),0)</f>
        <v>41</v>
      </c>
      <c r="Z107" s="13" t="s">
        <v>105</v>
      </c>
      <c r="AA107" s="13"/>
      <c r="AB107" s="13" t="s">
        <v>113</v>
      </c>
      <c r="AC107" s="13" t="s">
        <v>114</v>
      </c>
      <c r="AD107" s="13" t="s">
        <v>773</v>
      </c>
      <c r="AE107" s="13" t="s">
        <v>774</v>
      </c>
      <c r="AF107" s="13" t="s">
        <v>775</v>
      </c>
      <c r="AG107" s="24" t="s">
        <v>776</v>
      </c>
      <c r="AH107" s="13" t="s">
        <v>100</v>
      </c>
      <c r="AI107" s="13"/>
    </row>
    <row r="108" customFormat="false" ht="15" hidden="false" customHeight="false" outlineLevel="0" collapsed="false">
      <c r="A108" s="13" t="s">
        <v>36</v>
      </c>
      <c r="B108" s="13" t="s">
        <v>37</v>
      </c>
      <c r="C108" s="13" t="s">
        <v>777</v>
      </c>
      <c r="D108" s="13" t="s">
        <v>778</v>
      </c>
      <c r="E108" s="13" t="s">
        <v>200</v>
      </c>
      <c r="F108" s="13" t="s">
        <v>201</v>
      </c>
      <c r="G108" s="14" t="n">
        <v>6753</v>
      </c>
      <c r="H108" s="13" t="s">
        <v>19</v>
      </c>
      <c r="I108" s="15" t="n">
        <v>0.0025</v>
      </c>
      <c r="J108" s="16" t="n">
        <f aca="false">IFERROR(INDEX('Como ler'!$B$20:$B$24,MATCH(H108,'Como ler'!$A$20:$A$24,0)),"")</f>
        <v>0.025</v>
      </c>
      <c r="K108" s="17" t="n">
        <f aca="false">IF(OR(I108="",J108=""),"",I108/J108)</f>
        <v>0.1</v>
      </c>
      <c r="L108" s="14" t="n">
        <v>19</v>
      </c>
      <c r="M108" s="18" t="n">
        <v>1.4</v>
      </c>
      <c r="N108" s="14" t="n">
        <v>438</v>
      </c>
      <c r="O108" s="17" t="n">
        <f aca="false">IF(OR(N108="",G108=0),"",N108/G108)</f>
        <v>0.0648600621945802</v>
      </c>
      <c r="P108" s="19" t="n">
        <v>0.67</v>
      </c>
      <c r="Q108" s="20" t="n">
        <v>0.2</v>
      </c>
      <c r="R108" s="21" t="n">
        <v>45928</v>
      </c>
      <c r="S108" s="22" t="n">
        <f aca="false">IF(R108="","",'Como ler'!$B$27-R108)</f>
        <v>364</v>
      </c>
      <c r="T108" s="13" t="n">
        <v>0</v>
      </c>
      <c r="U108" s="13"/>
      <c r="V108" s="13" t="s">
        <v>46</v>
      </c>
      <c r="W108" s="13" t="s">
        <v>779</v>
      </c>
      <c r="X108" s="23" t="s">
        <v>94</v>
      </c>
      <c r="Y108" s="13" t="n">
        <f aca="false">ROUND(IF(K108="",0,MIN(40,40*K108/1.5))+IF(S108="",0,IF(S108&lt;=7,20,IF(S108&lt;=30,12,IF(S108&lt;=90,5,0))))+IF(Q108="",0,MIN(15,Q108*5))+IF(O108="",0,MIN(15,O108*30))+IF(E108="Criador(a)",10,IF(E108="Especialista que cria conteúdo",6,4)),0)</f>
        <v>10</v>
      </c>
      <c r="Z108" s="13" t="s">
        <v>105</v>
      </c>
      <c r="AA108" s="13"/>
      <c r="AB108" s="13"/>
      <c r="AC108" s="13" t="s">
        <v>130</v>
      </c>
      <c r="AD108" s="13" t="s">
        <v>780</v>
      </c>
      <c r="AE108" s="13" t="s">
        <v>781</v>
      </c>
      <c r="AF108" s="13" t="s">
        <v>782</v>
      </c>
      <c r="AG108" s="24" t="s">
        <v>783</v>
      </c>
      <c r="AH108" s="13" t="s">
        <v>100</v>
      </c>
      <c r="AI108" s="13"/>
    </row>
    <row r="109" customFormat="false" ht="15" hidden="false" customHeight="false" outlineLevel="0" collapsed="false">
      <c r="A109" s="13" t="s">
        <v>36</v>
      </c>
      <c r="B109" s="13"/>
      <c r="C109" s="13" t="s">
        <v>784</v>
      </c>
      <c r="D109" s="13" t="s">
        <v>785</v>
      </c>
      <c r="E109" s="13" t="s">
        <v>30</v>
      </c>
      <c r="F109" s="13" t="s">
        <v>28</v>
      </c>
      <c r="G109" s="14" t="n">
        <v>6670</v>
      </c>
      <c r="H109" s="13" t="s">
        <v>19</v>
      </c>
      <c r="I109" s="15" t="n">
        <v>0.0483</v>
      </c>
      <c r="J109" s="16" t="n">
        <f aca="false">IFERROR(INDEX('Como ler'!$B$20:$B$24,MATCH(H109,'Como ler'!$A$20:$A$24,0)),"")</f>
        <v>0.025</v>
      </c>
      <c r="K109" s="17" t="n">
        <f aca="false">IF(OR(I109="",J109=""),"",I109/J109)</f>
        <v>1.932</v>
      </c>
      <c r="L109" s="14" t="n">
        <v>7659</v>
      </c>
      <c r="M109" s="18" t="n">
        <v>156.1</v>
      </c>
      <c r="N109" s="14" t="n">
        <v>1292</v>
      </c>
      <c r="O109" s="17" t="n">
        <f aca="false">IF(OR(N109="",G109=0),"",N109/G109)</f>
        <v>0.193703148425787</v>
      </c>
      <c r="P109" s="19" t="n">
        <v>1</v>
      </c>
      <c r="Q109" s="20" t="n">
        <v>0.2</v>
      </c>
      <c r="R109" s="21" t="n">
        <v>46288</v>
      </c>
      <c r="S109" s="22" t="n">
        <f aca="false">IF(R109="","",'Como ler'!$B$27-R109)</f>
        <v>4</v>
      </c>
      <c r="T109" s="13" t="n">
        <v>0</v>
      </c>
      <c r="U109" s="13"/>
      <c r="V109" s="13" t="s">
        <v>53</v>
      </c>
      <c r="W109" s="13" t="s">
        <v>53</v>
      </c>
      <c r="X109" s="26" t="s">
        <v>129</v>
      </c>
      <c r="Y109" s="13" t="n">
        <f aca="false">ROUND(IF(K109="",0,MIN(40,40*K109/1.5))+IF(S109="",0,IF(S109&lt;=7,20,IF(S109&lt;=30,12,IF(S109&lt;=90,5,0))))+IF(Q109="",0,MIN(15,Q109*5))+IF(O109="",0,MIN(15,O109*30))+IF(E109="Criador(a)",10,IF(E109="Especialista que cria conteúdo",6,4)),0)</f>
        <v>77</v>
      </c>
      <c r="Z109" s="13"/>
      <c r="AA109" s="13"/>
      <c r="AB109" s="13" t="s">
        <v>113</v>
      </c>
      <c r="AC109" s="13"/>
      <c r="AD109" s="13" t="s">
        <v>510</v>
      </c>
      <c r="AE109" s="13" t="s">
        <v>687</v>
      </c>
      <c r="AF109" s="13" t="s">
        <v>786</v>
      </c>
      <c r="AG109" s="24" t="s">
        <v>787</v>
      </c>
      <c r="AH109" s="13" t="s">
        <v>100</v>
      </c>
      <c r="AI109" s="13"/>
    </row>
    <row r="110" customFormat="false" ht="15" hidden="false" customHeight="false" outlineLevel="0" collapsed="false">
      <c r="A110" s="13" t="s">
        <v>36</v>
      </c>
      <c r="B110" s="13"/>
      <c r="C110" s="13" t="s">
        <v>788</v>
      </c>
      <c r="D110" s="13" t="s">
        <v>789</v>
      </c>
      <c r="E110" s="13" t="s">
        <v>157</v>
      </c>
      <c r="F110" s="13" t="s">
        <v>28</v>
      </c>
      <c r="G110" s="14" t="n">
        <v>6644</v>
      </c>
      <c r="H110" s="13" t="s">
        <v>19</v>
      </c>
      <c r="I110" s="15" t="n">
        <v>0.0045</v>
      </c>
      <c r="J110" s="16" t="n">
        <f aca="false">IFERROR(INDEX('Como ler'!$B$20:$B$24,MATCH(H110,'Como ler'!$A$20:$A$24,0)),"")</f>
        <v>0.025</v>
      </c>
      <c r="K110" s="17" t="n">
        <f aca="false">IF(OR(I110="",J110=""),"",I110/J110)</f>
        <v>0.18</v>
      </c>
      <c r="L110" s="14" t="n">
        <v>33</v>
      </c>
      <c r="M110" s="18" t="n">
        <v>8.9</v>
      </c>
      <c r="N110" s="14" t="n">
        <v>192</v>
      </c>
      <c r="O110" s="17" t="n">
        <f aca="false">IF(OR(N110="",G110=0),"",N110/G110)</f>
        <v>0.028898254063817</v>
      </c>
      <c r="P110" s="19" t="n">
        <v>0.91</v>
      </c>
      <c r="Q110" s="20" t="n">
        <v>0.5</v>
      </c>
      <c r="R110" s="21" t="n">
        <v>46287</v>
      </c>
      <c r="S110" s="22" t="n">
        <f aca="false">IF(R110="","",'Como ler'!$B$27-R110)</f>
        <v>5</v>
      </c>
      <c r="T110" s="13" t="n">
        <v>0</v>
      </c>
      <c r="U110" s="13"/>
      <c r="V110" s="13" t="s">
        <v>50</v>
      </c>
      <c r="W110" s="13" t="s">
        <v>790</v>
      </c>
      <c r="X110" s="23" t="s">
        <v>94</v>
      </c>
      <c r="Y110" s="13" t="n">
        <f aca="false">ROUND(IF(K110="",0,MIN(40,40*K110/1.5))+IF(S110="",0,IF(S110&lt;=7,20,IF(S110&lt;=30,12,IF(S110&lt;=90,5,0))))+IF(Q110="",0,MIN(15,Q110*5))+IF(O110="",0,MIN(15,O110*30))+IF(E110="Criador(a)",10,IF(E110="Especialista que cria conteúdo",6,4)),0)</f>
        <v>34</v>
      </c>
      <c r="Z110" s="13" t="s">
        <v>95</v>
      </c>
      <c r="AA110" s="13"/>
      <c r="AB110" s="13" t="s">
        <v>113</v>
      </c>
      <c r="AC110" s="13"/>
      <c r="AD110" s="13" t="s">
        <v>571</v>
      </c>
      <c r="AE110" s="13" t="s">
        <v>572</v>
      </c>
      <c r="AF110" s="13" t="s">
        <v>791</v>
      </c>
      <c r="AG110" s="24" t="s">
        <v>792</v>
      </c>
      <c r="AH110" s="13" t="s">
        <v>100</v>
      </c>
      <c r="AI110" s="13"/>
    </row>
    <row r="111" customFormat="false" ht="15" hidden="false" customHeight="false" outlineLevel="0" collapsed="false">
      <c r="A111" s="13" t="s">
        <v>36</v>
      </c>
      <c r="B111" s="13"/>
      <c r="C111" s="13" t="s">
        <v>793</v>
      </c>
      <c r="D111" s="13" t="s">
        <v>794</v>
      </c>
      <c r="E111" s="13" t="s">
        <v>30</v>
      </c>
      <c r="F111" s="13" t="s">
        <v>28</v>
      </c>
      <c r="G111" s="14" t="n">
        <v>6582</v>
      </c>
      <c r="H111" s="13" t="s">
        <v>19</v>
      </c>
      <c r="I111" s="15" t="n">
        <v>0.0208</v>
      </c>
      <c r="J111" s="16" t="n">
        <f aca="false">IFERROR(INDEX('Como ler'!$B$20:$B$24,MATCH(H111,'Como ler'!$A$20:$A$24,0)),"")</f>
        <v>0.025</v>
      </c>
      <c r="K111" s="17" t="n">
        <f aca="false">IF(OR(I111="",J111=""),"",I111/J111)</f>
        <v>0.832</v>
      </c>
      <c r="L111" s="14" t="n">
        <v>126</v>
      </c>
      <c r="M111" s="18" t="n">
        <v>26.6</v>
      </c>
      <c r="N111" s="14" t="n">
        <v>689</v>
      </c>
      <c r="O111" s="17" t="n">
        <f aca="false">IF(OR(N111="",G111=0),"",N111/G111)</f>
        <v>0.104679428745062</v>
      </c>
      <c r="P111" s="19" t="n">
        <v>0.5</v>
      </c>
      <c r="Q111" s="20" t="n">
        <v>0.1</v>
      </c>
      <c r="R111" s="21" t="n">
        <v>46287</v>
      </c>
      <c r="S111" s="22" t="n">
        <f aca="false">IF(R111="","",'Como ler'!$B$27-R111)</f>
        <v>5</v>
      </c>
      <c r="T111" s="13" t="n">
        <v>0</v>
      </c>
      <c r="U111" s="13"/>
      <c r="V111" s="13" t="s">
        <v>48</v>
      </c>
      <c r="W111" s="13" t="s">
        <v>795</v>
      </c>
      <c r="X111" s="25" t="s">
        <v>104</v>
      </c>
      <c r="Y111" s="13" t="n">
        <f aca="false">ROUND(IF(K111="",0,MIN(40,40*K111/1.5))+IF(S111="",0,IF(S111&lt;=7,20,IF(S111&lt;=30,12,IF(S111&lt;=90,5,0))))+IF(Q111="",0,MIN(15,Q111*5))+IF(O111="",0,MIN(15,O111*30))+IF(E111="Criador(a)",10,IF(E111="Especialista que cria conteúdo",6,4)),0)</f>
        <v>56</v>
      </c>
      <c r="Z111" s="13" t="s">
        <v>105</v>
      </c>
      <c r="AA111" s="13"/>
      <c r="AB111" s="13" t="s">
        <v>113</v>
      </c>
      <c r="AC111" s="13"/>
      <c r="AD111" s="13" t="s">
        <v>523</v>
      </c>
      <c r="AE111" s="13" t="s">
        <v>796</v>
      </c>
      <c r="AF111" s="13" t="s">
        <v>797</v>
      </c>
      <c r="AG111" s="24" t="s">
        <v>798</v>
      </c>
      <c r="AH111" s="13" t="s">
        <v>100</v>
      </c>
      <c r="AI111" s="13"/>
    </row>
    <row r="112" customFormat="false" ht="15" hidden="false" customHeight="false" outlineLevel="0" collapsed="false">
      <c r="A112" s="13" t="s">
        <v>36</v>
      </c>
      <c r="B112" s="13"/>
      <c r="C112" s="13" t="s">
        <v>799</v>
      </c>
      <c r="D112" s="13" t="s">
        <v>800</v>
      </c>
      <c r="E112" s="13" t="s">
        <v>30</v>
      </c>
      <c r="F112" s="13" t="s">
        <v>28</v>
      </c>
      <c r="G112" s="14" t="n">
        <v>6130</v>
      </c>
      <c r="H112" s="13" t="s">
        <v>19</v>
      </c>
      <c r="I112" s="15" t="n">
        <v>0.0134</v>
      </c>
      <c r="J112" s="16" t="n">
        <f aca="false">IFERROR(INDEX('Como ler'!$B$20:$B$24,MATCH(H112,'Como ler'!$A$20:$A$24,0)),"")</f>
        <v>0.025</v>
      </c>
      <c r="K112" s="17" t="n">
        <f aca="false">IF(OR(I112="",J112=""),"",I112/J112)</f>
        <v>0.536</v>
      </c>
      <c r="L112" s="14" t="n">
        <v>82</v>
      </c>
      <c r="M112" s="18" t="n">
        <v>7.4</v>
      </c>
      <c r="N112" s="14" t="n">
        <v>1250</v>
      </c>
      <c r="O112" s="17" t="n">
        <f aca="false">IF(OR(N112="",G112=0),"",N112/G112)</f>
        <v>0.203915171288744</v>
      </c>
      <c r="P112" s="19" t="n">
        <v>0.92</v>
      </c>
      <c r="Q112" s="20" t="n">
        <v>2.9</v>
      </c>
      <c r="R112" s="21" t="n">
        <v>46292</v>
      </c>
      <c r="S112" s="22" t="n">
        <f aca="false">IF(R112="","",'Como ler'!$B$27-R112)</f>
        <v>0</v>
      </c>
      <c r="T112" s="13" t="n">
        <v>0</v>
      </c>
      <c r="U112" s="13"/>
      <c r="V112" s="13" t="s">
        <v>45</v>
      </c>
      <c r="W112" s="13" t="s">
        <v>801</v>
      </c>
      <c r="X112" s="25" t="s">
        <v>104</v>
      </c>
      <c r="Y112" s="13" t="n">
        <f aca="false">ROUND(IF(K112="",0,MIN(40,40*K112/1.5))+IF(S112="",0,IF(S112&lt;=7,20,IF(S112&lt;=30,12,IF(S112&lt;=90,5,0))))+IF(Q112="",0,MIN(15,Q112*5))+IF(O112="",0,MIN(15,O112*30))+IF(E112="Criador(a)",10,IF(E112="Especialista que cria conteúdo",6,4)),0)</f>
        <v>65</v>
      </c>
      <c r="Z112" s="13" t="s">
        <v>622</v>
      </c>
      <c r="AA112" s="13"/>
      <c r="AB112" s="13" t="s">
        <v>113</v>
      </c>
      <c r="AC112" s="13"/>
      <c r="AD112" s="13" t="s">
        <v>802</v>
      </c>
      <c r="AE112" s="13" t="s">
        <v>803</v>
      </c>
      <c r="AF112" s="13" t="s">
        <v>804</v>
      </c>
      <c r="AG112" s="24" t="s">
        <v>805</v>
      </c>
      <c r="AH112" s="13" t="s">
        <v>100</v>
      </c>
      <c r="AI112" s="13"/>
    </row>
    <row r="113" customFormat="false" ht="15" hidden="false" customHeight="false" outlineLevel="0" collapsed="false">
      <c r="A113" s="13" t="s">
        <v>36</v>
      </c>
      <c r="B113" s="13"/>
      <c r="C113" s="13" t="s">
        <v>806</v>
      </c>
      <c r="D113" s="13" t="s">
        <v>807</v>
      </c>
      <c r="E113" s="13" t="s">
        <v>200</v>
      </c>
      <c r="F113" s="13" t="s">
        <v>201</v>
      </c>
      <c r="G113" s="14" t="n">
        <v>5582</v>
      </c>
      <c r="H113" s="13" t="s">
        <v>19</v>
      </c>
      <c r="I113" s="15" t="n">
        <v>0.003</v>
      </c>
      <c r="J113" s="16" t="n">
        <f aca="false">IFERROR(INDEX('Como ler'!$B$20:$B$24,MATCH(H113,'Como ler'!$A$20:$A$24,0)),"")</f>
        <v>0.025</v>
      </c>
      <c r="K113" s="17" t="n">
        <f aca="false">IF(OR(I113="",J113=""),"",I113/J113)</f>
        <v>0.12</v>
      </c>
      <c r="L113" s="14" t="n">
        <v>19</v>
      </c>
      <c r="M113" s="18" t="n">
        <v>1.1</v>
      </c>
      <c r="N113" s="14" t="n">
        <v>210</v>
      </c>
      <c r="O113" s="17" t="n">
        <f aca="false">IF(OR(N113="",G113=0),"",N113/G113)</f>
        <v>0.0376209243998567</v>
      </c>
      <c r="P113" s="19" t="n">
        <v>0.42</v>
      </c>
      <c r="Q113" s="20" t="n">
        <v>12.8</v>
      </c>
      <c r="R113" s="21" t="n">
        <v>46292</v>
      </c>
      <c r="S113" s="22" t="n">
        <f aca="false">IF(R113="","",'Como ler'!$B$27-R113)</f>
        <v>0</v>
      </c>
      <c r="T113" s="13" t="n">
        <v>0</v>
      </c>
      <c r="U113" s="13"/>
      <c r="V113" s="13" t="s">
        <v>45</v>
      </c>
      <c r="W113" s="13" t="s">
        <v>45</v>
      </c>
      <c r="X113" s="25" t="s">
        <v>104</v>
      </c>
      <c r="Y113" s="13" t="n">
        <f aca="false">ROUND(IF(K113="",0,MIN(40,40*K113/1.5))+IF(S113="",0,IF(S113&lt;=7,20,IF(S113&lt;=30,12,IF(S113&lt;=90,5,0))))+IF(Q113="",0,MIN(15,Q113*5))+IF(O113="",0,MIN(15,O113*30))+IF(E113="Criador(a)",10,IF(E113="Especialista que cria conteúdo",6,4)),0)</f>
        <v>43</v>
      </c>
      <c r="Z113" s="13" t="s">
        <v>105</v>
      </c>
      <c r="AA113" s="13"/>
      <c r="AB113" s="13"/>
      <c r="AC113" s="13"/>
      <c r="AD113" s="13" t="s">
        <v>493</v>
      </c>
      <c r="AE113" s="13"/>
      <c r="AF113" s="13" t="s">
        <v>808</v>
      </c>
      <c r="AG113" s="24" t="s">
        <v>809</v>
      </c>
      <c r="AH113" s="13" t="s">
        <v>100</v>
      </c>
      <c r="AI113" s="13"/>
    </row>
    <row r="114" customFormat="false" ht="15" hidden="false" customHeight="false" outlineLevel="0" collapsed="false">
      <c r="A114" s="13" t="s">
        <v>36</v>
      </c>
      <c r="B114" s="13"/>
      <c r="C114" s="13" t="s">
        <v>810</v>
      </c>
      <c r="D114" s="13" t="s">
        <v>811</v>
      </c>
      <c r="E114" s="13" t="s">
        <v>30</v>
      </c>
      <c r="F114" s="13" t="s">
        <v>28</v>
      </c>
      <c r="G114" s="14" t="n">
        <v>5420</v>
      </c>
      <c r="H114" s="13" t="s">
        <v>19</v>
      </c>
      <c r="I114" s="15" t="n">
        <v>0.0027</v>
      </c>
      <c r="J114" s="16" t="n">
        <f aca="false">IFERROR(INDEX('Como ler'!$B$20:$B$24,MATCH(H114,'Como ler'!$A$20:$A$24,0)),"")</f>
        <v>0.025</v>
      </c>
      <c r="K114" s="17" t="n">
        <f aca="false">IF(OR(I114="",J114=""),"",I114/J114)</f>
        <v>0.108</v>
      </c>
      <c r="L114" s="14" t="n">
        <v>26</v>
      </c>
      <c r="M114" s="18" t="n">
        <v>0.2</v>
      </c>
      <c r="N114" s="14" t="n">
        <v>4</v>
      </c>
      <c r="O114" s="17" t="n">
        <f aca="false">IF(OR(N114="",G114=0),"",N114/G114)</f>
        <v>0.000738007380073801</v>
      </c>
      <c r="P114" s="19" t="n">
        <v>1</v>
      </c>
      <c r="Q114" s="20" t="n">
        <v>0.2</v>
      </c>
      <c r="R114" s="21" t="n">
        <v>45867</v>
      </c>
      <c r="S114" s="22" t="n">
        <f aca="false">IF(R114="","",'Como ler'!$B$27-R114)</f>
        <v>425</v>
      </c>
      <c r="T114" s="13" t="n">
        <v>0</v>
      </c>
      <c r="U114" s="13"/>
      <c r="V114" s="13" t="s">
        <v>57</v>
      </c>
      <c r="W114" s="13" t="s">
        <v>812</v>
      </c>
      <c r="X114" s="26" t="s">
        <v>129</v>
      </c>
      <c r="Y114" s="13" t="n">
        <f aca="false">ROUND(IF(K114="",0,MIN(40,40*K114/1.5))+IF(S114="",0,IF(S114&lt;=7,20,IF(S114&lt;=30,12,IF(S114&lt;=90,5,0))))+IF(Q114="",0,MIN(15,Q114*5))+IF(O114="",0,MIN(15,O114*30))+IF(E114="Criador(a)",10,IF(E114="Especialista que cria conteúdo",6,4)),0)</f>
        <v>14</v>
      </c>
      <c r="Z114" s="13" t="s">
        <v>813</v>
      </c>
      <c r="AA114" s="13"/>
      <c r="AB114" s="13"/>
      <c r="AC114" s="13"/>
      <c r="AD114" s="13" t="s">
        <v>578</v>
      </c>
      <c r="AE114" s="13" t="s">
        <v>814</v>
      </c>
      <c r="AF114" s="13" t="s">
        <v>815</v>
      </c>
      <c r="AG114" s="24" t="s">
        <v>816</v>
      </c>
      <c r="AH114" s="13" t="s">
        <v>100</v>
      </c>
      <c r="AI114" s="13"/>
    </row>
    <row r="115" customFormat="false" ht="15" hidden="false" customHeight="false" outlineLevel="0" collapsed="false">
      <c r="A115" s="13" t="s">
        <v>36</v>
      </c>
      <c r="B115" s="13"/>
      <c r="C115" s="13" t="s">
        <v>817</v>
      </c>
      <c r="D115" s="13"/>
      <c r="E115" s="13" t="s">
        <v>30</v>
      </c>
      <c r="F115" s="13" t="s">
        <v>28</v>
      </c>
      <c r="G115" s="14" t="n">
        <v>5404</v>
      </c>
      <c r="H115" s="13" t="s">
        <v>19</v>
      </c>
      <c r="I115" s="15" t="n">
        <v>0.0113</v>
      </c>
      <c r="J115" s="16" t="n">
        <f aca="false">IFERROR(INDEX('Como ler'!$B$20:$B$24,MATCH(H115,'Como ler'!$A$20:$A$24,0)),"")</f>
        <v>0.025</v>
      </c>
      <c r="K115" s="17" t="n">
        <f aca="false">IF(OR(I115="",J115=""),"",I115/J115)</f>
        <v>0.452</v>
      </c>
      <c r="L115" s="14" t="n">
        <v>57</v>
      </c>
      <c r="M115" s="18" t="n">
        <v>7.3</v>
      </c>
      <c r="N115" s="14" t="n">
        <v>88</v>
      </c>
      <c r="O115" s="17" t="n">
        <f aca="false">IF(OR(N115="",G115=0),"",N115/G115)</f>
        <v>0.0162842339008142</v>
      </c>
      <c r="P115" s="19" t="n">
        <v>0.11</v>
      </c>
      <c r="Q115" s="20" t="n">
        <v>0.3</v>
      </c>
      <c r="R115" s="21" t="n">
        <v>46285</v>
      </c>
      <c r="S115" s="22" t="n">
        <f aca="false">IF(R115="","",'Como ler'!$B$27-R115)</f>
        <v>7</v>
      </c>
      <c r="T115" s="13" t="n">
        <v>0</v>
      </c>
      <c r="U115" s="13"/>
      <c r="V115" s="13"/>
      <c r="W115" s="13"/>
      <c r="X115" s="25" t="s">
        <v>104</v>
      </c>
      <c r="Y115" s="13" t="n">
        <f aca="false">ROUND(IF(K115="",0,MIN(40,40*K115/1.5))+IF(S115="",0,IF(S115&lt;=7,20,IF(S115&lt;=30,12,IF(S115&lt;=90,5,0))))+IF(Q115="",0,MIN(15,Q115*5))+IF(O115="",0,MIN(15,O115*30))+IF(E115="Criador(a)",10,IF(E115="Especialista que cria conteúdo",6,4)),0)</f>
        <v>44</v>
      </c>
      <c r="Z115" s="13"/>
      <c r="AA115" s="13"/>
      <c r="AB115" s="13"/>
      <c r="AC115" s="13"/>
      <c r="AD115" s="13" t="s">
        <v>523</v>
      </c>
      <c r="AE115" s="13" t="s">
        <v>818</v>
      </c>
      <c r="AF115" s="13" t="s">
        <v>819</v>
      </c>
      <c r="AG115" s="24" t="s">
        <v>820</v>
      </c>
      <c r="AH115" s="13" t="s">
        <v>100</v>
      </c>
      <c r="AI115" s="13"/>
    </row>
    <row r="116" customFormat="false" ht="15" hidden="false" customHeight="false" outlineLevel="0" collapsed="false">
      <c r="A116" s="13" t="s">
        <v>36</v>
      </c>
      <c r="B116" s="13"/>
      <c r="C116" s="13" t="s">
        <v>821</v>
      </c>
      <c r="D116" s="13" t="s">
        <v>822</v>
      </c>
      <c r="E116" s="13" t="s">
        <v>157</v>
      </c>
      <c r="F116" s="13" t="s">
        <v>29</v>
      </c>
      <c r="G116" s="14" t="n">
        <v>4865</v>
      </c>
      <c r="H116" s="13" t="s">
        <v>19</v>
      </c>
      <c r="I116" s="15" t="n">
        <v>0.0027</v>
      </c>
      <c r="J116" s="16" t="n">
        <f aca="false">IFERROR(INDEX('Como ler'!$B$20:$B$24,MATCH(H116,'Como ler'!$A$20:$A$24,0)),"")</f>
        <v>0.025</v>
      </c>
      <c r="K116" s="17" t="n">
        <f aca="false">IF(OR(I116="",J116=""),"",I116/J116)</f>
        <v>0.108</v>
      </c>
      <c r="L116" s="14" t="n">
        <v>17</v>
      </c>
      <c r="M116" s="18" t="n">
        <v>1.8</v>
      </c>
      <c r="N116" s="14" t="n">
        <v>1730</v>
      </c>
      <c r="O116" s="17" t="n">
        <f aca="false">IF(OR(N116="",G116=0),"",N116/G116)</f>
        <v>0.355601233299075</v>
      </c>
      <c r="P116" s="19" t="n">
        <v>0.33</v>
      </c>
      <c r="Q116" s="20" t="n">
        <v>2.7</v>
      </c>
      <c r="R116" s="21" t="n">
        <v>46287</v>
      </c>
      <c r="S116" s="22" t="n">
        <f aca="false">IF(R116="","",'Como ler'!$B$27-R116)</f>
        <v>5</v>
      </c>
      <c r="T116" s="13" t="n">
        <v>0</v>
      </c>
      <c r="U116" s="13"/>
      <c r="V116" s="13" t="s">
        <v>49</v>
      </c>
      <c r="W116" s="13" t="s">
        <v>823</v>
      </c>
      <c r="X116" s="23" t="s">
        <v>94</v>
      </c>
      <c r="Y116" s="13" t="n">
        <f aca="false">ROUND(IF(K116="",0,MIN(40,40*K116/1.5))+IF(S116="",0,IF(S116&lt;=7,20,IF(S116&lt;=30,12,IF(S116&lt;=90,5,0))))+IF(Q116="",0,MIN(15,Q116*5))+IF(O116="",0,MIN(15,O116*30))+IF(E116="Criador(a)",10,IF(E116="Especialista que cria conteúdo",6,4)),0)</f>
        <v>53</v>
      </c>
      <c r="Z116" s="13"/>
      <c r="AA116" s="13" t="s">
        <v>113</v>
      </c>
      <c r="AB116" s="13" t="s">
        <v>113</v>
      </c>
      <c r="AC116" s="13"/>
      <c r="AD116" s="13" t="s">
        <v>478</v>
      </c>
      <c r="AE116" s="13" t="s">
        <v>824</v>
      </c>
      <c r="AF116" s="13" t="s">
        <v>825</v>
      </c>
      <c r="AG116" s="24" t="s">
        <v>826</v>
      </c>
      <c r="AH116" s="13" t="s">
        <v>100</v>
      </c>
      <c r="AI116" s="13"/>
    </row>
    <row r="117" customFormat="false" ht="15" hidden="false" customHeight="false" outlineLevel="0" collapsed="false">
      <c r="A117" s="13" t="s">
        <v>36</v>
      </c>
      <c r="B117" s="13"/>
      <c r="C117" s="13" t="s">
        <v>827</v>
      </c>
      <c r="D117" s="13" t="s">
        <v>828</v>
      </c>
      <c r="E117" s="13" t="s">
        <v>30</v>
      </c>
      <c r="F117" s="13" t="s">
        <v>28</v>
      </c>
      <c r="G117" s="14" t="n">
        <v>4755</v>
      </c>
      <c r="H117" s="13" t="s">
        <v>19</v>
      </c>
      <c r="I117" s="15" t="n">
        <v>0.0248</v>
      </c>
      <c r="J117" s="16" t="n">
        <f aca="false">IFERROR(INDEX('Como ler'!$B$20:$B$24,MATCH(H117,'Como ler'!$A$20:$A$24,0)),"")</f>
        <v>0.025</v>
      </c>
      <c r="K117" s="17" t="n">
        <f aca="false">IF(OR(I117="",J117=""),"",I117/J117)</f>
        <v>0.992</v>
      </c>
      <c r="L117" s="14" t="n">
        <v>109</v>
      </c>
      <c r="M117" s="18" t="n">
        <v>28.2</v>
      </c>
      <c r="N117" s="14" t="n">
        <v>278</v>
      </c>
      <c r="O117" s="17" t="n">
        <f aca="false">IF(OR(N117="",G117=0),"",N117/G117)</f>
        <v>0.0584647739221872</v>
      </c>
      <c r="P117" s="19" t="n">
        <v>0.18</v>
      </c>
      <c r="Q117" s="20" t="n">
        <v>0.7</v>
      </c>
      <c r="R117" s="21" t="n">
        <v>46283</v>
      </c>
      <c r="S117" s="22" t="n">
        <f aca="false">IF(R117="","",'Como ler'!$B$27-R117)</f>
        <v>9</v>
      </c>
      <c r="T117" s="13" t="n">
        <v>0</v>
      </c>
      <c r="U117" s="13"/>
      <c r="V117" s="13" t="s">
        <v>47</v>
      </c>
      <c r="W117" s="13" t="s">
        <v>47</v>
      </c>
      <c r="X117" s="25" t="s">
        <v>104</v>
      </c>
      <c r="Y117" s="13" t="n">
        <f aca="false">ROUND(IF(K117="",0,MIN(40,40*K117/1.5))+IF(S117="",0,IF(S117&lt;=7,20,IF(S117&lt;=30,12,IF(S117&lt;=90,5,0))))+IF(Q117="",0,MIN(15,Q117*5))+IF(O117="",0,MIN(15,O117*30))+IF(E117="Criador(a)",10,IF(E117="Especialista que cria conteúdo",6,4)),0)</f>
        <v>54</v>
      </c>
      <c r="Z117" s="13"/>
      <c r="AA117" s="13"/>
      <c r="AB117" s="13"/>
      <c r="AC117" s="13"/>
      <c r="AD117" s="13" t="s">
        <v>597</v>
      </c>
      <c r="AE117" s="13" t="s">
        <v>829</v>
      </c>
      <c r="AF117" s="13"/>
      <c r="AG117" s="24" t="s">
        <v>830</v>
      </c>
      <c r="AH117" s="13" t="s">
        <v>100</v>
      </c>
      <c r="AI117" s="13"/>
    </row>
    <row r="118" customFormat="false" ht="15" hidden="false" customHeight="false" outlineLevel="0" collapsed="false">
      <c r="A118" s="13" t="s">
        <v>36</v>
      </c>
      <c r="B118" s="13"/>
      <c r="C118" s="13" t="s">
        <v>831</v>
      </c>
      <c r="D118" s="13" t="s">
        <v>832</v>
      </c>
      <c r="E118" s="13" t="s">
        <v>157</v>
      </c>
      <c r="F118" s="13" t="s">
        <v>29</v>
      </c>
      <c r="G118" s="14" t="n">
        <v>4628</v>
      </c>
      <c r="H118" s="13" t="s">
        <v>19</v>
      </c>
      <c r="I118" s="15" t="n">
        <v>0.0037</v>
      </c>
      <c r="J118" s="16" t="n">
        <f aca="false">IFERROR(INDEX('Como ler'!$B$20:$B$24,MATCH(H118,'Como ler'!$A$20:$A$24,0)),"")</f>
        <v>0.025</v>
      </c>
      <c r="K118" s="17" t="n">
        <f aca="false">IF(OR(I118="",J118=""),"",I118/J118)</f>
        <v>0.148</v>
      </c>
      <c r="L118" s="14" t="n">
        <v>15</v>
      </c>
      <c r="M118" s="18" t="n">
        <v>1.8</v>
      </c>
      <c r="N118" s="14" t="n">
        <v>58</v>
      </c>
      <c r="O118" s="17" t="n">
        <f aca="false">IF(OR(N118="",G118=0),"",N118/G118)</f>
        <v>0.0125324114088159</v>
      </c>
      <c r="P118" s="19" t="n">
        <v>1</v>
      </c>
      <c r="Q118" s="20" t="n">
        <v>5.6</v>
      </c>
      <c r="R118" s="21" t="n">
        <v>46292</v>
      </c>
      <c r="S118" s="22" t="n">
        <f aca="false">IF(R118="","",'Como ler'!$B$27-R118)</f>
        <v>0</v>
      </c>
      <c r="T118" s="13" t="n">
        <v>0</v>
      </c>
      <c r="U118" s="13"/>
      <c r="V118" s="13" t="s">
        <v>45</v>
      </c>
      <c r="W118" s="13" t="s">
        <v>45</v>
      </c>
      <c r="X118" s="25" t="s">
        <v>104</v>
      </c>
      <c r="Y118" s="13" t="n">
        <f aca="false">ROUND(IF(K118="",0,MIN(40,40*K118/1.5))+IF(S118="",0,IF(S118&lt;=7,20,IF(S118&lt;=30,12,IF(S118&lt;=90,5,0))))+IF(Q118="",0,MIN(15,Q118*5))+IF(O118="",0,MIN(15,O118*30))+IF(E118="Criador(a)",10,IF(E118="Especialista que cria conteúdo",6,4)),0)</f>
        <v>45</v>
      </c>
      <c r="Z118" s="13"/>
      <c r="AA118" s="13"/>
      <c r="AB118" s="13" t="s">
        <v>113</v>
      </c>
      <c r="AC118" s="13"/>
      <c r="AD118" s="13" t="s">
        <v>597</v>
      </c>
      <c r="AE118" s="13" t="s">
        <v>833</v>
      </c>
      <c r="AF118" s="13" t="s">
        <v>834</v>
      </c>
      <c r="AG118" s="24" t="s">
        <v>835</v>
      </c>
      <c r="AH118" s="13" t="s">
        <v>100</v>
      </c>
      <c r="AI118" s="13"/>
    </row>
    <row r="119" customFormat="false" ht="15" hidden="false" customHeight="false" outlineLevel="0" collapsed="false">
      <c r="A119" s="13" t="s">
        <v>36</v>
      </c>
      <c r="B119" s="13" t="s">
        <v>38</v>
      </c>
      <c r="C119" s="13" t="s">
        <v>836</v>
      </c>
      <c r="D119" s="13" t="s">
        <v>837</v>
      </c>
      <c r="E119" s="13" t="s">
        <v>157</v>
      </c>
      <c r="F119" s="13" t="s">
        <v>28</v>
      </c>
      <c r="G119" s="14" t="n">
        <v>4387</v>
      </c>
      <c r="H119" s="13" t="s">
        <v>19</v>
      </c>
      <c r="I119" s="15" t="n">
        <v>0.0071</v>
      </c>
      <c r="J119" s="16" t="n">
        <f aca="false">IFERROR(INDEX('Como ler'!$B$20:$B$24,MATCH(H119,'Como ler'!$A$20:$A$24,0)),"")</f>
        <v>0.025</v>
      </c>
      <c r="K119" s="17" t="n">
        <f aca="false">IF(OR(I119="",J119=""),"",I119/J119)</f>
        <v>0.284</v>
      </c>
      <c r="L119" s="14" t="n">
        <v>38</v>
      </c>
      <c r="M119" s="18" t="n">
        <v>3</v>
      </c>
      <c r="N119" s="14" t="n">
        <v>86</v>
      </c>
      <c r="O119" s="17" t="n">
        <f aca="false">IF(OR(N119="",G119=0),"",N119/G119)</f>
        <v>0.0196033736038295</v>
      </c>
      <c r="P119" s="19" t="n">
        <v>0.44</v>
      </c>
      <c r="Q119" s="20" t="n">
        <v>0.7</v>
      </c>
      <c r="R119" s="21" t="n">
        <v>46290</v>
      </c>
      <c r="S119" s="22" t="n">
        <f aca="false">IF(R119="","",'Como ler'!$B$27-R119)</f>
        <v>2</v>
      </c>
      <c r="T119" s="13" t="n">
        <v>0</v>
      </c>
      <c r="U119" s="13"/>
      <c r="V119" s="13" t="s">
        <v>45</v>
      </c>
      <c r="W119" s="13" t="s">
        <v>180</v>
      </c>
      <c r="X119" s="26" t="s">
        <v>129</v>
      </c>
      <c r="Y119" s="13" t="n">
        <f aca="false">ROUND(IF(K119="",0,MIN(40,40*K119/1.5))+IF(S119="",0,IF(S119&lt;=7,20,IF(S119&lt;=30,12,IF(S119&lt;=90,5,0))))+IF(Q119="",0,MIN(15,Q119*5))+IF(O119="",0,MIN(15,O119*30))+IF(E119="Criador(a)",10,IF(E119="Especialista que cria conteúdo",6,4)),0)</f>
        <v>38</v>
      </c>
      <c r="Z119" s="13" t="s">
        <v>430</v>
      </c>
      <c r="AA119" s="13"/>
      <c r="AB119" s="13" t="s">
        <v>113</v>
      </c>
      <c r="AC119" s="13"/>
      <c r="AD119" s="13" t="s">
        <v>838</v>
      </c>
      <c r="AE119" s="13" t="s">
        <v>839</v>
      </c>
      <c r="AF119" s="13" t="s">
        <v>840</v>
      </c>
      <c r="AG119" s="24" t="s">
        <v>841</v>
      </c>
      <c r="AH119" s="13" t="s">
        <v>100</v>
      </c>
      <c r="AI119" s="13"/>
    </row>
    <row r="120" customFormat="false" ht="15" hidden="false" customHeight="false" outlineLevel="0" collapsed="false">
      <c r="A120" s="13" t="s">
        <v>36</v>
      </c>
      <c r="B120" s="13" t="s">
        <v>35</v>
      </c>
      <c r="C120" s="13" t="s">
        <v>842</v>
      </c>
      <c r="D120" s="13" t="s">
        <v>843</v>
      </c>
      <c r="E120" s="13" t="s">
        <v>157</v>
      </c>
      <c r="F120" s="13" t="s">
        <v>28</v>
      </c>
      <c r="G120" s="14" t="n">
        <v>3959</v>
      </c>
      <c r="H120" s="13" t="s">
        <v>19</v>
      </c>
      <c r="I120" s="15" t="n">
        <v>0.0381</v>
      </c>
      <c r="J120" s="16" t="n">
        <f aca="false">IFERROR(INDEX('Como ler'!$B$20:$B$24,MATCH(H120,'Como ler'!$A$20:$A$24,0)),"")</f>
        <v>0.025</v>
      </c>
      <c r="K120" s="17" t="n">
        <f aca="false">IF(OR(I120="",J120=""),"",I120/J120)</f>
        <v>1.524</v>
      </c>
      <c r="L120" s="14" t="n">
        <v>280</v>
      </c>
      <c r="M120" s="18" t="n">
        <v>26.6</v>
      </c>
      <c r="N120" s="14" t="n">
        <v>2045</v>
      </c>
      <c r="O120" s="17" t="n">
        <f aca="false">IF(OR(N120="",G120=0),"",N120/G120)</f>
        <v>0.516544581965143</v>
      </c>
      <c r="P120" s="19" t="n">
        <v>0.56</v>
      </c>
      <c r="Q120" s="20" t="n">
        <v>0.6</v>
      </c>
      <c r="R120" s="21" t="n">
        <v>46287</v>
      </c>
      <c r="S120" s="22" t="n">
        <f aca="false">IF(R120="","",'Como ler'!$B$27-R120)</f>
        <v>5</v>
      </c>
      <c r="T120" s="13" t="n">
        <v>0</v>
      </c>
      <c r="U120" s="13"/>
      <c r="V120" s="13"/>
      <c r="W120" s="13"/>
      <c r="X120" s="25" t="s">
        <v>104</v>
      </c>
      <c r="Y120" s="13" t="n">
        <f aca="false">ROUND(IF(K120="",0,MIN(40,40*K120/1.5))+IF(S120="",0,IF(S120&lt;=7,20,IF(S120&lt;=30,12,IF(S120&lt;=90,5,0))))+IF(Q120="",0,MIN(15,Q120*5))+IF(O120="",0,MIN(15,O120*30))+IF(E120="Criador(a)",10,IF(E120="Especialista que cria conteúdo",6,4)),0)</f>
        <v>84</v>
      </c>
      <c r="Z120" s="13" t="s">
        <v>289</v>
      </c>
      <c r="AA120" s="13"/>
      <c r="AB120" s="13"/>
      <c r="AC120" s="13"/>
      <c r="AD120" s="13" t="s">
        <v>844</v>
      </c>
      <c r="AE120" s="13" t="s">
        <v>845</v>
      </c>
      <c r="AF120" s="13" t="s">
        <v>846</v>
      </c>
      <c r="AG120" s="24" t="s">
        <v>847</v>
      </c>
      <c r="AH120" s="13" t="s">
        <v>100</v>
      </c>
      <c r="AI120" s="13"/>
    </row>
    <row r="121" customFormat="false" ht="15" hidden="false" customHeight="false" outlineLevel="0" collapsed="false">
      <c r="A121" s="13" t="s">
        <v>36</v>
      </c>
      <c r="B121" s="13"/>
      <c r="C121" s="13" t="s">
        <v>848</v>
      </c>
      <c r="D121" s="13" t="s">
        <v>849</v>
      </c>
      <c r="E121" s="13" t="s">
        <v>157</v>
      </c>
      <c r="F121" s="13" t="s">
        <v>28</v>
      </c>
      <c r="G121" s="14" t="n">
        <v>3469</v>
      </c>
      <c r="H121" s="13" t="s">
        <v>19</v>
      </c>
      <c r="I121" s="15" t="n">
        <v>0.0166</v>
      </c>
      <c r="J121" s="16" t="n">
        <f aca="false">IFERROR(INDEX('Como ler'!$B$20:$B$24,MATCH(H121,'Como ler'!$A$20:$A$24,0)),"")</f>
        <v>0.025</v>
      </c>
      <c r="K121" s="17" t="n">
        <f aca="false">IF(OR(I121="",J121=""),"",I121/J121)</f>
        <v>0.664</v>
      </c>
      <c r="L121" s="14" t="n">
        <v>231</v>
      </c>
      <c r="M121" s="18" t="n">
        <v>10.6</v>
      </c>
      <c r="N121" s="14" t="n">
        <v>831</v>
      </c>
      <c r="O121" s="17" t="n">
        <f aca="false">IF(OR(N121="",G121=0),"",N121/G121)</f>
        <v>0.239550302680888</v>
      </c>
      <c r="P121" s="19" t="n">
        <v>0.5</v>
      </c>
      <c r="Q121" s="20" t="n">
        <v>0.4</v>
      </c>
      <c r="R121" s="21" t="n">
        <v>46285</v>
      </c>
      <c r="S121" s="22" t="n">
        <f aca="false">IF(R121="","",'Como ler'!$B$27-R121)</f>
        <v>7</v>
      </c>
      <c r="T121" s="13" t="n">
        <v>0</v>
      </c>
      <c r="U121" s="13"/>
      <c r="V121" s="13" t="s">
        <v>45</v>
      </c>
      <c r="W121" s="13" t="s">
        <v>850</v>
      </c>
      <c r="X121" s="23" t="s">
        <v>94</v>
      </c>
      <c r="Y121" s="13" t="n">
        <f aca="false">ROUND(IF(K121="",0,MIN(40,40*K121/1.5))+IF(S121="",0,IF(S121&lt;=7,20,IF(S121&lt;=30,12,IF(S121&lt;=90,5,0))))+IF(Q121="",0,MIN(15,Q121*5))+IF(O121="",0,MIN(15,O121*30))+IF(E121="Criador(a)",10,IF(E121="Especialista que cria conteúdo",6,4)),0)</f>
        <v>53</v>
      </c>
      <c r="Z121" s="13" t="s">
        <v>430</v>
      </c>
      <c r="AA121" s="13"/>
      <c r="AB121" s="13" t="s">
        <v>113</v>
      </c>
      <c r="AC121" s="13"/>
      <c r="AD121" s="13" t="s">
        <v>571</v>
      </c>
      <c r="AE121" s="13" t="s">
        <v>851</v>
      </c>
      <c r="AF121" s="13" t="s">
        <v>852</v>
      </c>
      <c r="AG121" s="24" t="s">
        <v>853</v>
      </c>
      <c r="AH121" s="13" t="s">
        <v>100</v>
      </c>
      <c r="AI121" s="13"/>
    </row>
    <row r="122" customFormat="false" ht="15" hidden="false" customHeight="false" outlineLevel="0" collapsed="false">
      <c r="A122" s="13" t="s">
        <v>36</v>
      </c>
      <c r="B122" s="13" t="s">
        <v>37</v>
      </c>
      <c r="C122" s="13" t="s">
        <v>854</v>
      </c>
      <c r="D122" s="13" t="s">
        <v>855</v>
      </c>
      <c r="E122" s="13" t="s">
        <v>30</v>
      </c>
      <c r="F122" s="13" t="s">
        <v>766</v>
      </c>
      <c r="G122" s="14" t="n">
        <v>3313</v>
      </c>
      <c r="H122" s="13" t="s">
        <v>19</v>
      </c>
      <c r="I122" s="15" t="n">
        <v>0.0063</v>
      </c>
      <c r="J122" s="16" t="n">
        <f aca="false">IFERROR(INDEX('Como ler'!$B$20:$B$24,MATCH(H122,'Como ler'!$A$20:$A$24,0)),"")</f>
        <v>0.025</v>
      </c>
      <c r="K122" s="17" t="n">
        <f aca="false">IF(OR(I122="",J122=""),"",I122/J122)</f>
        <v>0.252</v>
      </c>
      <c r="L122" s="14" t="n">
        <v>43</v>
      </c>
      <c r="M122" s="18" t="n">
        <v>2.6</v>
      </c>
      <c r="N122" s="14" t="n">
        <v>144</v>
      </c>
      <c r="O122" s="17" t="n">
        <f aca="false">IF(OR(N122="",G122=0),"",N122/G122)</f>
        <v>0.0434651373377603</v>
      </c>
      <c r="P122" s="19" t="n">
        <v>0.89</v>
      </c>
      <c r="Q122" s="20" t="n">
        <v>0.7</v>
      </c>
      <c r="R122" s="21" t="n">
        <v>46291</v>
      </c>
      <c r="S122" s="22" t="n">
        <f aca="false">IF(R122="","",'Como ler'!$B$27-R122)</f>
        <v>1</v>
      </c>
      <c r="T122" s="13" t="n">
        <v>0</v>
      </c>
      <c r="U122" s="13"/>
      <c r="V122" s="13" t="s">
        <v>53</v>
      </c>
      <c r="W122" s="13" t="s">
        <v>856</v>
      </c>
      <c r="X122" s="26" t="s">
        <v>129</v>
      </c>
      <c r="Y122" s="13" t="n">
        <f aca="false">ROUND(IF(K122="",0,MIN(40,40*K122/1.5))+IF(S122="",0,IF(S122&lt;=7,20,IF(S122&lt;=30,12,IF(S122&lt;=90,5,0))))+IF(Q122="",0,MIN(15,Q122*5))+IF(O122="",0,MIN(15,O122*30))+IF(E122="Criador(a)",10,IF(E122="Especialista que cria conteúdo",6,4)),0)</f>
        <v>42</v>
      </c>
      <c r="Z122" s="13"/>
      <c r="AA122" s="13"/>
      <c r="AB122" s="13"/>
      <c r="AC122" s="13"/>
      <c r="AD122" s="13" t="s">
        <v>857</v>
      </c>
      <c r="AE122" s="13" t="s">
        <v>858</v>
      </c>
      <c r="AF122" s="13" t="s">
        <v>859</v>
      </c>
      <c r="AG122" s="24" t="s">
        <v>860</v>
      </c>
      <c r="AH122" s="13" t="s">
        <v>100</v>
      </c>
      <c r="AI122" s="13"/>
    </row>
    <row r="123" customFormat="false" ht="15" hidden="false" customHeight="false" outlineLevel="0" collapsed="false">
      <c r="A123" s="13" t="s">
        <v>36</v>
      </c>
      <c r="B123" s="13" t="s">
        <v>37</v>
      </c>
      <c r="C123" s="13" t="s">
        <v>861</v>
      </c>
      <c r="D123" s="13" t="s">
        <v>862</v>
      </c>
      <c r="E123" s="13" t="s">
        <v>30</v>
      </c>
      <c r="F123" s="13" t="s">
        <v>29</v>
      </c>
      <c r="G123" s="14" t="n">
        <v>3283</v>
      </c>
      <c r="H123" s="13" t="s">
        <v>19</v>
      </c>
      <c r="I123" s="15" t="n">
        <v>0.0084</v>
      </c>
      <c r="J123" s="16" t="n">
        <f aca="false">IFERROR(INDEX('Como ler'!$B$20:$B$24,MATCH(H123,'Como ler'!$A$20:$A$24,0)),"")</f>
        <v>0.025</v>
      </c>
      <c r="K123" s="17" t="n">
        <f aca="false">IF(OR(I123="",J123=""),"",I123/J123)</f>
        <v>0.336</v>
      </c>
      <c r="L123" s="14" t="n">
        <v>26</v>
      </c>
      <c r="M123" s="18" t="n">
        <v>5.9</v>
      </c>
      <c r="N123" s="14" t="n">
        <v>316</v>
      </c>
      <c r="O123" s="17" t="n">
        <f aca="false">IF(OR(N123="",G123=0),"",N123/G123)</f>
        <v>0.0962534267438319</v>
      </c>
      <c r="P123" s="19" t="n">
        <v>0.22</v>
      </c>
      <c r="Q123" s="20" t="n">
        <v>14</v>
      </c>
      <c r="R123" s="21" t="n">
        <v>46291</v>
      </c>
      <c r="S123" s="22" t="n">
        <f aca="false">IF(R123="","",'Como ler'!$B$27-R123)</f>
        <v>1</v>
      </c>
      <c r="T123" s="13" t="n">
        <v>1</v>
      </c>
      <c r="U123" s="13"/>
      <c r="V123" s="13" t="s">
        <v>48</v>
      </c>
      <c r="W123" s="13" t="s">
        <v>144</v>
      </c>
      <c r="X123" s="23" t="s">
        <v>94</v>
      </c>
      <c r="Y123" s="13" t="n">
        <f aca="false">ROUND(IF(K123="",0,MIN(40,40*K123/1.5))+IF(S123="",0,IF(S123&lt;=7,20,IF(S123&lt;=30,12,IF(S123&lt;=90,5,0))))+IF(Q123="",0,MIN(15,Q123*5))+IF(O123="",0,MIN(15,O123*30))+IF(E123="Criador(a)",10,IF(E123="Especialista que cria conteúdo",6,4)),0)</f>
        <v>57</v>
      </c>
      <c r="Z123" s="13" t="s">
        <v>159</v>
      </c>
      <c r="AA123" s="13"/>
      <c r="AB123" s="13" t="s">
        <v>113</v>
      </c>
      <c r="AC123" s="13"/>
      <c r="AD123" s="13" t="s">
        <v>863</v>
      </c>
      <c r="AE123" s="13" t="s">
        <v>864</v>
      </c>
      <c r="AF123" s="13" t="s">
        <v>865</v>
      </c>
      <c r="AG123" s="24" t="s">
        <v>866</v>
      </c>
      <c r="AH123" s="13" t="s">
        <v>100</v>
      </c>
      <c r="AI123" s="13"/>
    </row>
    <row r="124" customFormat="false" ht="15" hidden="false" customHeight="false" outlineLevel="0" collapsed="false">
      <c r="A124" s="13" t="s">
        <v>36</v>
      </c>
      <c r="B124" s="13"/>
      <c r="C124" s="13" t="s">
        <v>867</v>
      </c>
      <c r="D124" s="13" t="s">
        <v>868</v>
      </c>
      <c r="E124" s="13" t="s">
        <v>157</v>
      </c>
      <c r="F124" s="13" t="s">
        <v>28</v>
      </c>
      <c r="G124" s="14" t="n">
        <v>3161</v>
      </c>
      <c r="H124" s="13" t="s">
        <v>19</v>
      </c>
      <c r="I124" s="15" t="n">
        <v>0.0092</v>
      </c>
      <c r="J124" s="16" t="n">
        <f aca="false">IFERROR(INDEX('Como ler'!$B$20:$B$24,MATCH(H124,'Como ler'!$A$20:$A$24,0)),"")</f>
        <v>0.025</v>
      </c>
      <c r="K124" s="17" t="n">
        <f aca="false">IF(OR(I124="",J124=""),"",I124/J124)</f>
        <v>0.368</v>
      </c>
      <c r="L124" s="14" t="n">
        <v>29</v>
      </c>
      <c r="M124" s="18" t="n">
        <v>4.6</v>
      </c>
      <c r="N124" s="14" t="n">
        <v>210</v>
      </c>
      <c r="O124" s="17" t="n">
        <f aca="false">IF(OR(N124="",G124=0),"",N124/G124)</f>
        <v>0.0664346725719709</v>
      </c>
      <c r="P124" s="19" t="n">
        <v>0.44</v>
      </c>
      <c r="Q124" s="20" t="n">
        <v>0.9</v>
      </c>
      <c r="R124" s="21" t="n">
        <v>46291</v>
      </c>
      <c r="S124" s="22" t="n">
        <f aca="false">IF(R124="","",'Como ler'!$B$27-R124)</f>
        <v>1</v>
      </c>
      <c r="T124" s="13" t="n">
        <v>0</v>
      </c>
      <c r="U124" s="13"/>
      <c r="V124" s="13" t="s">
        <v>53</v>
      </c>
      <c r="W124" s="13" t="s">
        <v>869</v>
      </c>
      <c r="X124" s="23" t="s">
        <v>94</v>
      </c>
      <c r="Y124" s="13" t="n">
        <f aca="false">ROUND(IF(K124="",0,MIN(40,40*K124/1.5))+IF(S124="",0,IF(S124&lt;=7,20,IF(S124&lt;=30,12,IF(S124&lt;=90,5,0))))+IF(Q124="",0,MIN(15,Q124*5))+IF(O124="",0,MIN(15,O124*30))+IF(E124="Criador(a)",10,IF(E124="Especialista que cria conteúdo",6,4)),0)</f>
        <v>42</v>
      </c>
      <c r="Z124" s="13" t="s">
        <v>95</v>
      </c>
      <c r="AA124" s="13"/>
      <c r="AB124" s="13"/>
      <c r="AC124" s="13"/>
      <c r="AD124" s="13" t="s">
        <v>571</v>
      </c>
      <c r="AE124" s="13" t="s">
        <v>870</v>
      </c>
      <c r="AF124" s="13" t="s">
        <v>871</v>
      </c>
      <c r="AG124" s="24" t="s">
        <v>872</v>
      </c>
      <c r="AH124" s="13" t="s">
        <v>100</v>
      </c>
      <c r="AI124" s="13"/>
    </row>
    <row r="125" customFormat="false" ht="15" hidden="false" customHeight="false" outlineLevel="0" collapsed="false">
      <c r="A125" s="13" t="s">
        <v>36</v>
      </c>
      <c r="B125" s="13"/>
      <c r="C125" s="13" t="s">
        <v>873</v>
      </c>
      <c r="D125" s="13" t="s">
        <v>874</v>
      </c>
      <c r="E125" s="13" t="s">
        <v>157</v>
      </c>
      <c r="F125" s="13" t="s">
        <v>28</v>
      </c>
      <c r="G125" s="14" t="n">
        <v>2918</v>
      </c>
      <c r="H125" s="13" t="s">
        <v>18</v>
      </c>
      <c r="I125" s="15" t="n">
        <v>0.026</v>
      </c>
      <c r="J125" s="16" t="n">
        <f aca="false">IFERROR(INDEX('Como ler'!$B$20:$B$24,MATCH(H125,'Como ler'!$A$20:$A$24,0)),"")</f>
        <v>0.04</v>
      </c>
      <c r="K125" s="17" t="n">
        <f aca="false">IF(OR(I125="",J125=""),"",I125/J125)</f>
        <v>0.65</v>
      </c>
      <c r="L125" s="14" t="n">
        <v>59</v>
      </c>
      <c r="M125" s="18" t="n">
        <v>16.8</v>
      </c>
      <c r="N125" s="14" t="n">
        <v>235</v>
      </c>
      <c r="O125" s="17" t="n">
        <f aca="false">IF(OR(N125="",G125=0),"",N125/G125)</f>
        <v>0.0805346127484578</v>
      </c>
      <c r="P125" s="19" t="n">
        <v>0.78</v>
      </c>
      <c r="Q125" s="20" t="n">
        <v>1.1</v>
      </c>
      <c r="R125" s="21" t="n">
        <v>46269</v>
      </c>
      <c r="S125" s="22" t="n">
        <f aca="false">IF(R125="","",'Como ler'!$B$27-R125)</f>
        <v>23</v>
      </c>
      <c r="T125" s="13" t="n">
        <v>0</v>
      </c>
      <c r="U125" s="13"/>
      <c r="V125" s="13" t="s">
        <v>52</v>
      </c>
      <c r="W125" s="13" t="s">
        <v>875</v>
      </c>
      <c r="X125" s="23" t="s">
        <v>94</v>
      </c>
      <c r="Y125" s="13" t="n">
        <f aca="false">ROUND(IF(K125="",0,MIN(40,40*K125/1.5))+IF(S125="",0,IF(S125&lt;=7,20,IF(S125&lt;=30,12,IF(S125&lt;=90,5,0))))+IF(Q125="",0,MIN(15,Q125*5))+IF(O125="",0,MIN(15,O125*30))+IF(E125="Criador(a)",10,IF(E125="Especialista que cria conteúdo",6,4)),0)</f>
        <v>43</v>
      </c>
      <c r="Z125" s="13" t="s">
        <v>95</v>
      </c>
      <c r="AA125" s="13"/>
      <c r="AB125" s="13" t="s">
        <v>113</v>
      </c>
      <c r="AC125" s="13"/>
      <c r="AD125" s="13" t="s">
        <v>641</v>
      </c>
      <c r="AE125" s="13" t="s">
        <v>524</v>
      </c>
      <c r="AF125" s="13" t="s">
        <v>876</v>
      </c>
      <c r="AG125" s="24" t="s">
        <v>877</v>
      </c>
      <c r="AH125" s="13" t="s">
        <v>100</v>
      </c>
      <c r="AI125" s="13"/>
    </row>
    <row r="126" customFormat="false" ht="15" hidden="false" customHeight="false" outlineLevel="0" collapsed="false">
      <c r="A126" s="13" t="s">
        <v>36</v>
      </c>
      <c r="B126" s="13"/>
      <c r="C126" s="13" t="s">
        <v>878</v>
      </c>
      <c r="D126" s="13" t="s">
        <v>879</v>
      </c>
      <c r="E126" s="13" t="s">
        <v>157</v>
      </c>
      <c r="F126" s="13" t="s">
        <v>28</v>
      </c>
      <c r="G126" s="14" t="n">
        <v>2674</v>
      </c>
      <c r="H126" s="13" t="s">
        <v>18</v>
      </c>
      <c r="I126" s="15" t="n">
        <v>0.0079</v>
      </c>
      <c r="J126" s="16" t="n">
        <f aca="false">IFERROR(INDEX('Como ler'!$B$20:$B$24,MATCH(H126,'Como ler'!$A$20:$A$24,0)),"")</f>
        <v>0.04</v>
      </c>
      <c r="K126" s="17" t="n">
        <f aca="false">IF(OR(I126="",J126=""),"",I126/J126)</f>
        <v>0.1975</v>
      </c>
      <c r="L126" s="14" t="n">
        <v>69</v>
      </c>
      <c r="M126" s="18" t="n">
        <v>14.6</v>
      </c>
      <c r="N126" s="14" t="n">
        <v>328</v>
      </c>
      <c r="O126" s="17" t="n">
        <f aca="false">IF(OR(N126="",G126=0),"",N126/G126)</f>
        <v>0.1226626776365</v>
      </c>
      <c r="P126" s="19" t="n">
        <v>0.89</v>
      </c>
      <c r="Q126" s="20" t="n">
        <v>0.4</v>
      </c>
      <c r="R126" s="21" t="n">
        <v>46271</v>
      </c>
      <c r="S126" s="22" t="n">
        <f aca="false">IF(R126="","",'Como ler'!$B$27-R126)</f>
        <v>21</v>
      </c>
      <c r="T126" s="13" t="n">
        <v>0</v>
      </c>
      <c r="U126" s="13"/>
      <c r="V126" s="13" t="s">
        <v>50</v>
      </c>
      <c r="W126" s="13" t="s">
        <v>880</v>
      </c>
      <c r="X126" s="23" t="s">
        <v>94</v>
      </c>
      <c r="Y126" s="13" t="n">
        <f aca="false">ROUND(IF(K126="",0,MIN(40,40*K126/1.5))+IF(S126="",0,IF(S126&lt;=7,20,IF(S126&lt;=30,12,IF(S126&lt;=90,5,0))))+IF(Q126="",0,MIN(15,Q126*5))+IF(O126="",0,MIN(15,O126*30))+IF(E126="Criador(a)",10,IF(E126="Especialista que cria conteúdo",6,4)),0)</f>
        <v>29</v>
      </c>
      <c r="Z126" s="13" t="s">
        <v>95</v>
      </c>
      <c r="AA126" s="13"/>
      <c r="AB126" s="13" t="s">
        <v>113</v>
      </c>
      <c r="AC126" s="13"/>
      <c r="AD126" s="13" t="s">
        <v>597</v>
      </c>
      <c r="AE126" s="13" t="s">
        <v>881</v>
      </c>
      <c r="AF126" s="13" t="s">
        <v>882</v>
      </c>
      <c r="AG126" s="24" t="s">
        <v>883</v>
      </c>
      <c r="AH126" s="13" t="s">
        <v>100</v>
      </c>
      <c r="AI126" s="13"/>
    </row>
    <row r="127" customFormat="false" ht="15" hidden="false" customHeight="false" outlineLevel="0" collapsed="false">
      <c r="A127" s="13" t="s">
        <v>36</v>
      </c>
      <c r="B127" s="13"/>
      <c r="C127" s="13" t="s">
        <v>884</v>
      </c>
      <c r="D127" s="13" t="s">
        <v>885</v>
      </c>
      <c r="E127" s="13" t="s">
        <v>157</v>
      </c>
      <c r="F127" s="13" t="s">
        <v>28</v>
      </c>
      <c r="G127" s="14" t="n">
        <v>2463</v>
      </c>
      <c r="H127" s="13" t="s">
        <v>18</v>
      </c>
      <c r="I127" s="15" t="n">
        <v>0.0459</v>
      </c>
      <c r="J127" s="16" t="n">
        <f aca="false">IFERROR(INDEX('Como ler'!$B$20:$B$24,MATCH(H127,'Como ler'!$A$20:$A$24,0)),"")</f>
        <v>0.04</v>
      </c>
      <c r="K127" s="17" t="n">
        <f aca="false">IF(OR(I127="",J127=""),"",I127/J127)</f>
        <v>1.1475</v>
      </c>
      <c r="L127" s="14" t="n">
        <v>106</v>
      </c>
      <c r="M127" s="18" t="n">
        <v>9.1</v>
      </c>
      <c r="N127" s="14" t="n">
        <v>829</v>
      </c>
      <c r="O127" s="17" t="n">
        <f aca="false">IF(OR(N127="",G127=0),"",N127/G127)</f>
        <v>0.336581404790905</v>
      </c>
      <c r="P127" s="19" t="n">
        <v>0.11</v>
      </c>
      <c r="Q127" s="20" t="n">
        <v>0.3</v>
      </c>
      <c r="R127" s="21" t="n">
        <v>46286</v>
      </c>
      <c r="S127" s="22" t="n">
        <f aca="false">IF(R127="","",'Como ler'!$B$27-R127)</f>
        <v>6</v>
      </c>
      <c r="T127" s="13" t="n">
        <v>0</v>
      </c>
      <c r="U127" s="13"/>
      <c r="V127" s="13" t="s">
        <v>44</v>
      </c>
      <c r="W127" s="13" t="s">
        <v>886</v>
      </c>
      <c r="X127" s="23" t="s">
        <v>94</v>
      </c>
      <c r="Y127" s="13" t="n">
        <f aca="false">ROUND(IF(K127="",0,MIN(40,40*K127/1.5))+IF(S127="",0,IF(S127&lt;=7,20,IF(S127&lt;=30,12,IF(S127&lt;=90,5,0))))+IF(Q127="",0,MIN(15,Q127*5))+IF(O127="",0,MIN(15,O127*30))+IF(E127="Criador(a)",10,IF(E127="Especialista que cria conteúdo",6,4)),0)</f>
        <v>68</v>
      </c>
      <c r="Z127" s="13"/>
      <c r="AA127" s="13"/>
      <c r="AB127" s="13" t="s">
        <v>113</v>
      </c>
      <c r="AC127" s="13"/>
      <c r="AD127" s="13" t="s">
        <v>887</v>
      </c>
      <c r="AE127" s="13" t="s">
        <v>888</v>
      </c>
      <c r="AF127" s="13" t="s">
        <v>889</v>
      </c>
      <c r="AG127" s="24" t="s">
        <v>890</v>
      </c>
      <c r="AH127" s="13" t="s">
        <v>100</v>
      </c>
      <c r="AI127" s="13"/>
    </row>
    <row r="128" customFormat="false" ht="15" hidden="false" customHeight="false" outlineLevel="0" collapsed="false">
      <c r="A128" s="13" t="s">
        <v>36</v>
      </c>
      <c r="B128" s="13" t="s">
        <v>37</v>
      </c>
      <c r="C128" s="13" t="s">
        <v>891</v>
      </c>
      <c r="D128" s="13" t="s">
        <v>892</v>
      </c>
      <c r="E128" s="13" t="s">
        <v>157</v>
      </c>
      <c r="F128" s="13" t="s">
        <v>29</v>
      </c>
      <c r="G128" s="14" t="n">
        <v>2408</v>
      </c>
      <c r="H128" s="13" t="s">
        <v>18</v>
      </c>
      <c r="I128" s="15" t="n">
        <v>0.0131</v>
      </c>
      <c r="J128" s="16" t="n">
        <f aca="false">IFERROR(INDEX('Como ler'!$B$20:$B$24,MATCH(H128,'Como ler'!$A$20:$A$24,0)),"")</f>
        <v>0.04</v>
      </c>
      <c r="K128" s="17" t="n">
        <f aca="false">IF(OR(I128="",J128=""),"",I128/J128)</f>
        <v>0.3275</v>
      </c>
      <c r="L128" s="14" t="n">
        <v>38</v>
      </c>
      <c r="M128" s="18" t="n">
        <v>3.4</v>
      </c>
      <c r="N128" s="14" t="n">
        <v>210</v>
      </c>
      <c r="O128" s="17" t="n">
        <f aca="false">IF(OR(N128="",G128=0),"",N128/G128)</f>
        <v>0.0872093023255814</v>
      </c>
      <c r="P128" s="19" t="n">
        <v>0.45</v>
      </c>
      <c r="Q128" s="20" t="n">
        <v>1.5</v>
      </c>
      <c r="R128" s="21" t="n">
        <v>46292</v>
      </c>
      <c r="S128" s="22" t="n">
        <f aca="false">IF(R128="","",'Como ler'!$B$27-R128)</f>
        <v>0</v>
      </c>
      <c r="T128" s="13" t="n">
        <v>0</v>
      </c>
      <c r="U128" s="13"/>
      <c r="V128" s="13" t="s">
        <v>45</v>
      </c>
      <c r="W128" s="13" t="s">
        <v>893</v>
      </c>
      <c r="X128" s="26" t="s">
        <v>129</v>
      </c>
      <c r="Y128" s="13" t="n">
        <f aca="false">ROUND(IF(K128="",0,MIN(40,40*K128/1.5))+IF(S128="",0,IF(S128&lt;=7,20,IF(S128&lt;=30,12,IF(S128&lt;=90,5,0))))+IF(Q128="",0,MIN(15,Q128*5))+IF(O128="",0,MIN(15,O128*30))+IF(E128="Criador(a)",10,IF(E128="Especialista que cria conteúdo",6,4)),0)</f>
        <v>45</v>
      </c>
      <c r="Z128" s="13" t="s">
        <v>622</v>
      </c>
      <c r="AA128" s="13"/>
      <c r="AB128" s="13" t="s">
        <v>113</v>
      </c>
      <c r="AC128" s="13"/>
      <c r="AD128" s="13" t="s">
        <v>894</v>
      </c>
      <c r="AE128" s="13" t="s">
        <v>895</v>
      </c>
      <c r="AF128" s="13" t="s">
        <v>896</v>
      </c>
      <c r="AG128" s="24" t="s">
        <v>897</v>
      </c>
      <c r="AH128" s="13" t="s">
        <v>100</v>
      </c>
      <c r="AI128" s="13"/>
    </row>
    <row r="129" customFormat="false" ht="15" hidden="false" customHeight="false" outlineLevel="0" collapsed="false">
      <c r="A129" s="13" t="s">
        <v>36</v>
      </c>
      <c r="B129" s="13"/>
      <c r="C129" s="13" t="s">
        <v>898</v>
      </c>
      <c r="D129" s="13" t="s">
        <v>899</v>
      </c>
      <c r="E129" s="13" t="s">
        <v>157</v>
      </c>
      <c r="F129" s="13" t="s">
        <v>28</v>
      </c>
      <c r="G129" s="14" t="n">
        <v>2360</v>
      </c>
      <c r="H129" s="13" t="s">
        <v>18</v>
      </c>
      <c r="I129" s="15" t="n">
        <v>0.0292</v>
      </c>
      <c r="J129" s="16" t="n">
        <f aca="false">IFERROR(INDEX('Como ler'!$B$20:$B$24,MATCH(H129,'Como ler'!$A$20:$A$24,0)),"")</f>
        <v>0.04</v>
      </c>
      <c r="K129" s="17" t="n">
        <f aca="false">IF(OR(I129="",J129=""),"",I129/J129)</f>
        <v>0.73</v>
      </c>
      <c r="L129" s="14" t="n">
        <v>55</v>
      </c>
      <c r="M129" s="18" t="n">
        <v>24</v>
      </c>
      <c r="N129" s="14" t="n">
        <v>835</v>
      </c>
      <c r="O129" s="17" t="n">
        <f aca="false">IF(OR(N129="",G129=0),"",N129/G129)</f>
        <v>0.353813559322034</v>
      </c>
      <c r="P129" s="19" t="n">
        <v>0.11</v>
      </c>
      <c r="Q129" s="20" t="n">
        <v>0.3</v>
      </c>
      <c r="R129" s="21" t="n">
        <v>46288</v>
      </c>
      <c r="S129" s="22" t="n">
        <f aca="false">IF(R129="","",'Como ler'!$B$27-R129)</f>
        <v>4</v>
      </c>
      <c r="T129" s="13" t="n">
        <v>0</v>
      </c>
      <c r="U129" s="13"/>
      <c r="V129" s="13" t="s">
        <v>53</v>
      </c>
      <c r="W129" s="13" t="s">
        <v>900</v>
      </c>
      <c r="X129" s="23" t="s">
        <v>94</v>
      </c>
      <c r="Y129" s="13" t="n">
        <f aca="false">ROUND(IF(K129="",0,MIN(40,40*K129/1.5))+IF(S129="",0,IF(S129&lt;=7,20,IF(S129&lt;=30,12,IF(S129&lt;=90,5,0))))+IF(Q129="",0,MIN(15,Q129*5))+IF(O129="",0,MIN(15,O129*30))+IF(E129="Criador(a)",10,IF(E129="Especialista que cria conteúdo",6,4)),0)</f>
        <v>58</v>
      </c>
      <c r="Z129" s="13"/>
      <c r="AA129" s="13"/>
      <c r="AB129" s="13"/>
      <c r="AC129" s="13"/>
      <c r="AD129" s="13" t="s">
        <v>641</v>
      </c>
      <c r="AE129" s="13" t="s">
        <v>642</v>
      </c>
      <c r="AF129" s="13" t="s">
        <v>901</v>
      </c>
      <c r="AG129" s="24" t="s">
        <v>902</v>
      </c>
      <c r="AH129" s="13" t="s">
        <v>100</v>
      </c>
      <c r="AI129" s="13"/>
    </row>
    <row r="130" customFormat="false" ht="15" hidden="false" customHeight="false" outlineLevel="0" collapsed="false">
      <c r="A130" s="13" t="s">
        <v>36</v>
      </c>
      <c r="B130" s="13"/>
      <c r="C130" s="13" t="s">
        <v>903</v>
      </c>
      <c r="D130" s="13" t="s">
        <v>904</v>
      </c>
      <c r="E130" s="13" t="s">
        <v>30</v>
      </c>
      <c r="F130" s="13" t="s">
        <v>29</v>
      </c>
      <c r="G130" s="14" t="n">
        <v>2174</v>
      </c>
      <c r="H130" s="13" t="s">
        <v>18</v>
      </c>
      <c r="I130" s="15" t="n">
        <v>0.0037</v>
      </c>
      <c r="J130" s="16" t="n">
        <f aca="false">IFERROR(INDEX('Como ler'!$B$20:$B$24,MATCH(H130,'Como ler'!$A$20:$A$24,0)),"")</f>
        <v>0.04</v>
      </c>
      <c r="K130" s="17" t="n">
        <f aca="false">IF(OR(I130="",J130=""),"",I130/J130)</f>
        <v>0.0925</v>
      </c>
      <c r="L130" s="14" t="n">
        <v>6</v>
      </c>
      <c r="M130" s="18" t="n">
        <v>1.1</v>
      </c>
      <c r="N130" s="14" t="n">
        <v>30</v>
      </c>
      <c r="O130" s="17" t="n">
        <f aca="false">IF(OR(N130="",G130=0),"",N130/G130)</f>
        <v>0.0137994480220791</v>
      </c>
      <c r="P130" s="19" t="n">
        <v>0.75</v>
      </c>
      <c r="Q130" s="20" t="n">
        <v>1.4</v>
      </c>
      <c r="R130" s="21" t="n">
        <v>46277</v>
      </c>
      <c r="S130" s="22" t="n">
        <f aca="false">IF(R130="","",'Como ler'!$B$27-R130)</f>
        <v>15</v>
      </c>
      <c r="T130" s="13" t="n">
        <v>0</v>
      </c>
      <c r="U130" s="13"/>
      <c r="V130" s="13" t="s">
        <v>42</v>
      </c>
      <c r="W130" s="13" t="s">
        <v>905</v>
      </c>
      <c r="X130" s="26" t="s">
        <v>129</v>
      </c>
      <c r="Y130" s="13" t="n">
        <f aca="false">ROUND(IF(K130="",0,MIN(40,40*K130/1.5))+IF(S130="",0,IF(S130&lt;=7,20,IF(S130&lt;=30,12,IF(S130&lt;=90,5,0))))+IF(Q130="",0,MIN(15,Q130*5))+IF(O130="",0,MIN(15,O130*30))+IF(E130="Criador(a)",10,IF(E130="Especialista que cria conteúdo",6,4)),0)</f>
        <v>32</v>
      </c>
      <c r="Z130" s="13" t="s">
        <v>622</v>
      </c>
      <c r="AA130" s="13"/>
      <c r="AB130" s="13"/>
      <c r="AC130" s="13"/>
      <c r="AD130" s="13" t="s">
        <v>493</v>
      </c>
      <c r="AE130" s="13"/>
      <c r="AF130" s="13" t="s">
        <v>906</v>
      </c>
      <c r="AG130" s="24" t="s">
        <v>907</v>
      </c>
      <c r="AH130" s="13" t="s">
        <v>100</v>
      </c>
      <c r="AI130" s="13"/>
    </row>
    <row r="131" customFormat="false" ht="15" hidden="false" customHeight="false" outlineLevel="0" collapsed="false">
      <c r="A131" s="13" t="s">
        <v>36</v>
      </c>
      <c r="B131" s="13"/>
      <c r="C131" s="13" t="s">
        <v>908</v>
      </c>
      <c r="D131" s="13" t="s">
        <v>909</v>
      </c>
      <c r="E131" s="13" t="s">
        <v>200</v>
      </c>
      <c r="F131" s="13" t="s">
        <v>201</v>
      </c>
      <c r="G131" s="14" t="n">
        <v>2028</v>
      </c>
      <c r="H131" s="13" t="s">
        <v>18</v>
      </c>
      <c r="I131" s="15" t="n">
        <v>0.0049</v>
      </c>
      <c r="J131" s="16" t="n">
        <f aca="false">IFERROR(INDEX('Como ler'!$B$20:$B$24,MATCH(H131,'Como ler'!$A$20:$A$24,0)),"")</f>
        <v>0.04</v>
      </c>
      <c r="K131" s="17" t="n">
        <f aca="false">IF(OR(I131="",J131=""),"",I131/J131)</f>
        <v>0.1225</v>
      </c>
      <c r="L131" s="14" t="n">
        <v>9</v>
      </c>
      <c r="M131" s="18" t="n">
        <v>1.2</v>
      </c>
      <c r="N131" s="14" t="n">
        <v>52</v>
      </c>
      <c r="O131" s="17" t="n">
        <f aca="false">IF(OR(N131="",G131=0),"",N131/G131)</f>
        <v>0.0256410256410256</v>
      </c>
      <c r="P131" s="19" t="n">
        <v>1</v>
      </c>
      <c r="Q131" s="20" t="n">
        <v>1.7</v>
      </c>
      <c r="R131" s="21" t="n">
        <v>45916</v>
      </c>
      <c r="S131" s="22" t="n">
        <f aca="false">IF(R131="","",'Como ler'!$B$27-R131)</f>
        <v>376</v>
      </c>
      <c r="T131" s="13" t="n">
        <v>0</v>
      </c>
      <c r="U131" s="13"/>
      <c r="V131" s="13" t="s">
        <v>57</v>
      </c>
      <c r="W131" s="13" t="s">
        <v>57</v>
      </c>
      <c r="X131" s="25" t="s">
        <v>104</v>
      </c>
      <c r="Y131" s="13" t="n">
        <f aca="false">ROUND(IF(K131="",0,MIN(40,40*K131/1.5))+IF(S131="",0,IF(S131&lt;=7,20,IF(S131&lt;=30,12,IF(S131&lt;=90,5,0))))+IF(Q131="",0,MIN(15,Q131*5))+IF(O131="",0,MIN(15,O131*30))+IF(E131="Criador(a)",10,IF(E131="Especialista que cria conteúdo",6,4)),0)</f>
        <v>17</v>
      </c>
      <c r="Z131" s="13" t="s">
        <v>622</v>
      </c>
      <c r="AA131" s="13"/>
      <c r="AB131" s="13"/>
      <c r="AC131" s="13"/>
      <c r="AD131" s="13" t="s">
        <v>558</v>
      </c>
      <c r="AE131" s="13" t="s">
        <v>910</v>
      </c>
      <c r="AF131" s="13"/>
      <c r="AG131" s="24" t="s">
        <v>911</v>
      </c>
      <c r="AH131" s="13" t="s">
        <v>100</v>
      </c>
      <c r="AI131" s="13"/>
    </row>
    <row r="132" customFormat="false" ht="15" hidden="false" customHeight="false" outlineLevel="0" collapsed="false">
      <c r="A132" s="13" t="s">
        <v>36</v>
      </c>
      <c r="B132" s="13"/>
      <c r="C132" s="13" t="s">
        <v>912</v>
      </c>
      <c r="D132" s="13" t="s">
        <v>913</v>
      </c>
      <c r="E132" s="13" t="s">
        <v>30</v>
      </c>
      <c r="F132" s="13" t="s">
        <v>28</v>
      </c>
      <c r="G132" s="14" t="n">
        <v>1968</v>
      </c>
      <c r="H132" s="13" t="s">
        <v>18</v>
      </c>
      <c r="I132" s="15" t="n">
        <v>0.0183</v>
      </c>
      <c r="J132" s="16" t="n">
        <f aca="false">IFERROR(INDEX('Como ler'!$B$20:$B$24,MATCH(H132,'Como ler'!$A$20:$A$24,0)),"")</f>
        <v>0.04</v>
      </c>
      <c r="K132" s="17" t="n">
        <f aca="false">IF(OR(I132="",J132=""),"",I132/J132)</f>
        <v>0.4575</v>
      </c>
      <c r="L132" s="14" t="n">
        <v>28</v>
      </c>
      <c r="M132" s="18" t="n">
        <v>7.9</v>
      </c>
      <c r="N132" s="14" t="n">
        <v>193</v>
      </c>
      <c r="O132" s="17" t="n">
        <f aca="false">IF(OR(N132="",G132=0),"",N132/G132)</f>
        <v>0.0980691056910569</v>
      </c>
      <c r="P132" s="19" t="n">
        <v>0.42</v>
      </c>
      <c r="Q132" s="20" t="n">
        <v>1.3</v>
      </c>
      <c r="R132" s="21" t="n">
        <v>46291</v>
      </c>
      <c r="S132" s="22" t="n">
        <f aca="false">IF(R132="","",'Como ler'!$B$27-R132)</f>
        <v>1</v>
      </c>
      <c r="T132" s="13" t="n">
        <v>0</v>
      </c>
      <c r="U132" s="13"/>
      <c r="V132" s="13" t="s">
        <v>52</v>
      </c>
      <c r="W132" s="13" t="s">
        <v>914</v>
      </c>
      <c r="X132" s="23" t="s">
        <v>94</v>
      </c>
      <c r="Y132" s="13" t="n">
        <f aca="false">ROUND(IF(K132="",0,MIN(40,40*K132/1.5))+IF(S132="",0,IF(S132&lt;=7,20,IF(S132&lt;=30,12,IF(S132&lt;=90,5,0))))+IF(Q132="",0,MIN(15,Q132*5))+IF(O132="",0,MIN(15,O132*30))+IF(E132="Criador(a)",10,IF(E132="Especialista que cria conteúdo",6,4)),0)</f>
        <v>52</v>
      </c>
      <c r="Z132" s="13"/>
      <c r="AA132" s="13"/>
      <c r="AB132" s="13" t="s">
        <v>113</v>
      </c>
      <c r="AC132" s="13"/>
      <c r="AD132" s="13" t="s">
        <v>578</v>
      </c>
      <c r="AE132" s="13" t="s">
        <v>915</v>
      </c>
      <c r="AF132" s="13" t="s">
        <v>916</v>
      </c>
      <c r="AG132" s="24" t="s">
        <v>917</v>
      </c>
      <c r="AH132" s="13" t="s">
        <v>100</v>
      </c>
      <c r="AI132" s="13"/>
    </row>
    <row r="133" customFormat="false" ht="15" hidden="false" customHeight="false" outlineLevel="0" collapsed="false">
      <c r="A133" s="13" t="s">
        <v>36</v>
      </c>
      <c r="B133" s="13"/>
      <c r="C133" s="13" t="s">
        <v>918</v>
      </c>
      <c r="D133" s="13" t="s">
        <v>919</v>
      </c>
      <c r="E133" s="13" t="s">
        <v>30</v>
      </c>
      <c r="F133" s="13" t="s">
        <v>28</v>
      </c>
      <c r="G133" s="14" t="n">
        <v>1774</v>
      </c>
      <c r="H133" s="13" t="s">
        <v>18</v>
      </c>
      <c r="I133" s="15" t="n">
        <v>0.0293</v>
      </c>
      <c r="J133" s="16" t="n">
        <f aca="false">IFERROR(INDEX('Como ler'!$B$20:$B$24,MATCH(H133,'Como ler'!$A$20:$A$24,0)),"")</f>
        <v>0.04</v>
      </c>
      <c r="K133" s="17" t="n">
        <f aca="false">IF(OR(I133="",J133=""),"",I133/J133)</f>
        <v>0.7325</v>
      </c>
      <c r="L133" s="14" t="n">
        <v>48</v>
      </c>
      <c r="M133" s="18" t="n">
        <v>5.8</v>
      </c>
      <c r="N133" s="14" t="n">
        <v>258</v>
      </c>
      <c r="O133" s="17" t="n">
        <f aca="false">IF(OR(N133="",G133=0),"",N133/G133)</f>
        <v>0.14543404735062</v>
      </c>
      <c r="P133" s="19" t="n">
        <v>0.45</v>
      </c>
      <c r="Q133" s="20" t="n">
        <v>0.4</v>
      </c>
      <c r="R133" s="21" t="n">
        <v>46290</v>
      </c>
      <c r="S133" s="22" t="n">
        <f aca="false">IF(R133="","",'Como ler'!$B$27-R133)</f>
        <v>2</v>
      </c>
      <c r="T133" s="13" t="n">
        <v>0</v>
      </c>
      <c r="U133" s="13"/>
      <c r="V133" s="13" t="s">
        <v>44</v>
      </c>
      <c r="W133" s="13" t="s">
        <v>920</v>
      </c>
      <c r="X133" s="23" t="s">
        <v>94</v>
      </c>
      <c r="Y133" s="13" t="n">
        <f aca="false">ROUND(IF(K133="",0,MIN(40,40*K133/1.5))+IF(S133="",0,IF(S133&lt;=7,20,IF(S133&lt;=30,12,IF(S133&lt;=90,5,0))))+IF(Q133="",0,MIN(15,Q133*5))+IF(O133="",0,MIN(15,O133*30))+IF(E133="Criador(a)",10,IF(E133="Especialista que cria conteúdo",6,4)),0)</f>
        <v>56</v>
      </c>
      <c r="Z133" s="13" t="s">
        <v>95</v>
      </c>
      <c r="AA133" s="13"/>
      <c r="AB133" s="13"/>
      <c r="AC133" s="13"/>
      <c r="AD133" s="13" t="s">
        <v>523</v>
      </c>
      <c r="AE133" s="13" t="s">
        <v>921</v>
      </c>
      <c r="AF133" s="13" t="s">
        <v>922</v>
      </c>
      <c r="AG133" s="24" t="s">
        <v>923</v>
      </c>
      <c r="AH133" s="13" t="s">
        <v>100</v>
      </c>
      <c r="AI133" s="13"/>
    </row>
    <row r="134" customFormat="false" ht="15" hidden="false" customHeight="false" outlineLevel="0" collapsed="false">
      <c r="A134" s="13" t="s">
        <v>36</v>
      </c>
      <c r="B134" s="13" t="s">
        <v>35</v>
      </c>
      <c r="C134" s="13" t="s">
        <v>924</v>
      </c>
      <c r="D134" s="13" t="s">
        <v>925</v>
      </c>
      <c r="E134" s="13" t="s">
        <v>157</v>
      </c>
      <c r="F134" s="13" t="s">
        <v>28</v>
      </c>
      <c r="G134" s="14" t="n">
        <v>1697</v>
      </c>
      <c r="H134" s="13" t="s">
        <v>18</v>
      </c>
      <c r="I134" s="15" t="n">
        <v>0.051</v>
      </c>
      <c r="J134" s="16" t="n">
        <f aca="false">IFERROR(INDEX('Como ler'!$B$20:$B$24,MATCH(H134,'Como ler'!$A$20:$A$24,0)),"")</f>
        <v>0.04</v>
      </c>
      <c r="K134" s="17" t="n">
        <f aca="false">IF(OR(I134="",J134=""),"",I134/J134)</f>
        <v>1.275</v>
      </c>
      <c r="L134" s="14" t="n">
        <v>83</v>
      </c>
      <c r="M134" s="18" t="n">
        <v>10.2</v>
      </c>
      <c r="N134" s="14" t="n">
        <v>800</v>
      </c>
      <c r="O134" s="17" t="n">
        <f aca="false">IF(OR(N134="",G134=0),"",N134/G134)</f>
        <v>0.47142015321155</v>
      </c>
      <c r="P134" s="19" t="n">
        <v>0.22</v>
      </c>
      <c r="Q134" s="20" t="n">
        <v>0.1</v>
      </c>
      <c r="R134" s="21" t="n">
        <v>46279</v>
      </c>
      <c r="S134" s="22" t="n">
        <f aca="false">IF(R134="","",'Como ler'!$B$27-R134)</f>
        <v>13</v>
      </c>
      <c r="T134" s="13" t="n">
        <v>0</v>
      </c>
      <c r="U134" s="13"/>
      <c r="V134" s="13" t="s">
        <v>45</v>
      </c>
      <c r="W134" s="13" t="s">
        <v>45</v>
      </c>
      <c r="X134" s="25" t="s">
        <v>104</v>
      </c>
      <c r="Y134" s="13" t="n">
        <f aca="false">ROUND(IF(K134="",0,MIN(40,40*K134/1.5))+IF(S134="",0,IF(S134&lt;=7,20,IF(S134&lt;=30,12,IF(S134&lt;=90,5,0))))+IF(Q134="",0,MIN(15,Q134*5))+IF(O134="",0,MIN(15,O134*30))+IF(E134="Criador(a)",10,IF(E134="Especialista que cria conteúdo",6,4)),0)</f>
        <v>67</v>
      </c>
      <c r="Z134" s="13" t="s">
        <v>926</v>
      </c>
      <c r="AA134" s="13"/>
      <c r="AB134" s="13" t="s">
        <v>113</v>
      </c>
      <c r="AC134" s="13" t="s">
        <v>114</v>
      </c>
      <c r="AD134" s="13" t="s">
        <v>844</v>
      </c>
      <c r="AE134" s="13" t="s">
        <v>927</v>
      </c>
      <c r="AF134" s="13" t="s">
        <v>928</v>
      </c>
      <c r="AG134" s="24" t="s">
        <v>929</v>
      </c>
      <c r="AH134" s="13" t="s">
        <v>100</v>
      </c>
      <c r="AI134" s="13"/>
    </row>
    <row r="135" customFormat="false" ht="15" hidden="false" customHeight="false" outlineLevel="0" collapsed="false">
      <c r="A135" s="13" t="s">
        <v>36</v>
      </c>
      <c r="B135" s="13"/>
      <c r="C135" s="13" t="s">
        <v>930</v>
      </c>
      <c r="D135" s="13" t="s">
        <v>931</v>
      </c>
      <c r="E135" s="13" t="s">
        <v>30</v>
      </c>
      <c r="F135" s="13" t="s">
        <v>28</v>
      </c>
      <c r="G135" s="14" t="n">
        <v>1597</v>
      </c>
      <c r="H135" s="13" t="s">
        <v>18</v>
      </c>
      <c r="I135" s="15" t="n">
        <v>0.067</v>
      </c>
      <c r="J135" s="16" t="n">
        <f aca="false">IFERROR(INDEX('Como ler'!$B$20:$B$24,MATCH(H135,'Como ler'!$A$20:$A$24,0)),"")</f>
        <v>0.04</v>
      </c>
      <c r="K135" s="17" t="n">
        <f aca="false">IF(OR(I135="",J135=""),"",I135/J135)</f>
        <v>1.675</v>
      </c>
      <c r="L135" s="14" t="n">
        <v>169</v>
      </c>
      <c r="M135" s="18" t="n">
        <v>14.1</v>
      </c>
      <c r="N135" s="14" t="n">
        <v>1246</v>
      </c>
      <c r="O135" s="17" t="n">
        <f aca="false">IF(OR(N135="",G135=0),"",N135/G135)</f>
        <v>0.780212899185974</v>
      </c>
      <c r="P135" s="19" t="n">
        <v>0.27</v>
      </c>
      <c r="Q135" s="20" t="n">
        <v>0.2</v>
      </c>
      <c r="R135" s="21" t="n">
        <v>46289</v>
      </c>
      <c r="S135" s="22" t="n">
        <f aca="false">IF(R135="","",'Como ler'!$B$27-R135)</f>
        <v>3</v>
      </c>
      <c r="T135" s="13" t="n">
        <v>0</v>
      </c>
      <c r="U135" s="13"/>
      <c r="V135" s="13" t="s">
        <v>52</v>
      </c>
      <c r="W135" s="13" t="s">
        <v>932</v>
      </c>
      <c r="X135" s="23" t="s">
        <v>94</v>
      </c>
      <c r="Y135" s="13" t="n">
        <f aca="false">ROUND(IF(K135="",0,MIN(40,40*K135/1.5))+IF(S135="",0,IF(S135&lt;=7,20,IF(S135&lt;=30,12,IF(S135&lt;=90,5,0))))+IF(Q135="",0,MIN(15,Q135*5))+IF(O135="",0,MIN(15,O135*30))+IF(E135="Criador(a)",10,IF(E135="Especialista que cria conteúdo",6,4)),0)</f>
        <v>86</v>
      </c>
      <c r="Z135" s="13"/>
      <c r="AA135" s="13"/>
      <c r="AB135" s="13"/>
      <c r="AC135" s="13"/>
      <c r="AD135" s="13" t="s">
        <v>578</v>
      </c>
      <c r="AE135" s="13" t="s">
        <v>933</v>
      </c>
      <c r="AF135" s="13" t="s">
        <v>934</v>
      </c>
      <c r="AG135" s="24" t="s">
        <v>935</v>
      </c>
      <c r="AH135" s="13" t="s">
        <v>100</v>
      </c>
      <c r="AI135" s="13"/>
    </row>
    <row r="136" customFormat="false" ht="15" hidden="false" customHeight="false" outlineLevel="0" collapsed="false">
      <c r="A136" s="13" t="s">
        <v>36</v>
      </c>
      <c r="B136" s="13"/>
      <c r="C136" s="13" t="s">
        <v>936</v>
      </c>
      <c r="D136" s="13" t="s">
        <v>937</v>
      </c>
      <c r="E136" s="13" t="s">
        <v>157</v>
      </c>
      <c r="F136" s="13" t="s">
        <v>28</v>
      </c>
      <c r="G136" s="14" t="n">
        <v>1511</v>
      </c>
      <c r="H136" s="13" t="s">
        <v>18</v>
      </c>
      <c r="I136" s="15" t="n">
        <v>0.0139</v>
      </c>
      <c r="J136" s="16" t="n">
        <f aca="false">IFERROR(INDEX('Como ler'!$B$20:$B$24,MATCH(H136,'Como ler'!$A$20:$A$24,0)),"")</f>
        <v>0.04</v>
      </c>
      <c r="K136" s="17" t="n">
        <f aca="false">IF(OR(I136="",J136=""),"",I136/J136)</f>
        <v>0.3475</v>
      </c>
      <c r="L136" s="14" t="n">
        <v>19</v>
      </c>
      <c r="M136" s="18" t="n">
        <v>1.9</v>
      </c>
      <c r="N136" s="14" t="n">
        <v>78</v>
      </c>
      <c r="O136" s="17" t="n">
        <f aca="false">IF(OR(N136="",G136=0),"",N136/G136)</f>
        <v>0.0516214427531436</v>
      </c>
      <c r="P136" s="19" t="n">
        <v>0.11</v>
      </c>
      <c r="Q136" s="20" t="n">
        <v>0.8</v>
      </c>
      <c r="R136" s="21" t="n">
        <v>46287</v>
      </c>
      <c r="S136" s="22" t="n">
        <f aca="false">IF(R136="","",'Como ler'!$B$27-R136)</f>
        <v>5</v>
      </c>
      <c r="T136" s="13" t="n">
        <v>0</v>
      </c>
      <c r="U136" s="13"/>
      <c r="V136" s="13" t="s">
        <v>45</v>
      </c>
      <c r="W136" s="13" t="s">
        <v>180</v>
      </c>
      <c r="X136" s="26" t="s">
        <v>129</v>
      </c>
      <c r="Y136" s="13" t="n">
        <f aca="false">ROUND(IF(K136="",0,MIN(40,40*K136/1.5))+IF(S136="",0,IF(S136&lt;=7,20,IF(S136&lt;=30,12,IF(S136&lt;=90,5,0))))+IF(Q136="",0,MIN(15,Q136*5))+IF(O136="",0,MIN(15,O136*30))+IF(E136="Criador(a)",10,IF(E136="Especialista que cria conteúdo",6,4)),0)</f>
        <v>41</v>
      </c>
      <c r="Z136" s="13" t="s">
        <v>430</v>
      </c>
      <c r="AA136" s="13"/>
      <c r="AB136" s="13"/>
      <c r="AC136" s="13"/>
      <c r="AD136" s="13" t="s">
        <v>597</v>
      </c>
      <c r="AE136" s="13" t="s">
        <v>938</v>
      </c>
      <c r="AF136" s="13" t="s">
        <v>939</v>
      </c>
      <c r="AG136" s="24" t="s">
        <v>940</v>
      </c>
      <c r="AH136" s="13" t="s">
        <v>100</v>
      </c>
      <c r="AI136" s="13"/>
    </row>
    <row r="137" customFormat="false" ht="15" hidden="false" customHeight="false" outlineLevel="0" collapsed="false">
      <c r="A137" s="13" t="s">
        <v>36</v>
      </c>
      <c r="B137" s="13"/>
      <c r="C137" s="13" t="s">
        <v>941</v>
      </c>
      <c r="D137" s="13" t="s">
        <v>942</v>
      </c>
      <c r="E137" s="13" t="s">
        <v>30</v>
      </c>
      <c r="F137" s="13" t="s">
        <v>28</v>
      </c>
      <c r="G137" s="14" t="n">
        <v>1481</v>
      </c>
      <c r="H137" s="13" t="s">
        <v>18</v>
      </c>
      <c r="I137" s="15" t="n">
        <v>0.0216</v>
      </c>
      <c r="J137" s="16" t="n">
        <f aca="false">IFERROR(INDEX('Como ler'!$B$20:$B$24,MATCH(H137,'Como ler'!$A$20:$A$24,0)),"")</f>
        <v>0.04</v>
      </c>
      <c r="K137" s="17" t="n">
        <f aca="false">IF(OR(I137="",J137=""),"",I137/J137)</f>
        <v>0.54</v>
      </c>
      <c r="L137" s="14" t="n">
        <v>61</v>
      </c>
      <c r="M137" s="18" t="n">
        <v>9</v>
      </c>
      <c r="N137" s="14" t="n">
        <v>166</v>
      </c>
      <c r="O137" s="17" t="n">
        <f aca="false">IF(OR(N137="",G137=0),"",N137/G137)</f>
        <v>0.112086428089129</v>
      </c>
      <c r="P137" s="19" t="n">
        <v>0.36</v>
      </c>
      <c r="Q137" s="20" t="n">
        <v>0.2</v>
      </c>
      <c r="R137" s="21" t="n">
        <v>46279</v>
      </c>
      <c r="S137" s="22" t="n">
        <f aca="false">IF(R137="","",'Como ler'!$B$27-R137)</f>
        <v>13</v>
      </c>
      <c r="T137" s="13" t="n">
        <v>0</v>
      </c>
      <c r="U137" s="13"/>
      <c r="V137" s="13" t="s">
        <v>48</v>
      </c>
      <c r="W137" s="13" t="s">
        <v>943</v>
      </c>
      <c r="X137" s="26" t="s">
        <v>129</v>
      </c>
      <c r="Y137" s="13" t="n">
        <f aca="false">ROUND(IF(K137="",0,MIN(40,40*K137/1.5))+IF(S137="",0,IF(S137&lt;=7,20,IF(S137&lt;=30,12,IF(S137&lt;=90,5,0))))+IF(Q137="",0,MIN(15,Q137*5))+IF(O137="",0,MIN(15,O137*30))+IF(E137="Criador(a)",10,IF(E137="Especialista que cria conteúdo",6,4)),0)</f>
        <v>41</v>
      </c>
      <c r="Z137" s="13" t="s">
        <v>289</v>
      </c>
      <c r="AA137" s="13"/>
      <c r="AB137" s="13" t="s">
        <v>113</v>
      </c>
      <c r="AC137" s="13"/>
      <c r="AD137" s="13" t="s">
        <v>653</v>
      </c>
      <c r="AE137" s="13" t="s">
        <v>944</v>
      </c>
      <c r="AF137" s="13" t="s">
        <v>945</v>
      </c>
      <c r="AG137" s="24" t="s">
        <v>946</v>
      </c>
      <c r="AH137" s="13" t="s">
        <v>100</v>
      </c>
      <c r="AI137" s="13"/>
    </row>
    <row r="138" customFormat="false" ht="15" hidden="false" customHeight="false" outlineLevel="0" collapsed="false">
      <c r="A138" s="13" t="s">
        <v>36</v>
      </c>
      <c r="B138" s="13"/>
      <c r="C138" s="13" t="s">
        <v>947</v>
      </c>
      <c r="D138" s="13" t="s">
        <v>948</v>
      </c>
      <c r="E138" s="13" t="s">
        <v>200</v>
      </c>
      <c r="F138" s="13" t="s">
        <v>201</v>
      </c>
      <c r="G138" s="14" t="n">
        <v>1419</v>
      </c>
      <c r="H138" s="13" t="s">
        <v>18</v>
      </c>
      <c r="I138" s="15" t="n">
        <v>0</v>
      </c>
      <c r="J138" s="16" t="n">
        <f aca="false">IFERROR(INDEX('Como ler'!$B$20:$B$24,MATCH(H138,'Como ler'!$A$20:$A$24,0)),"")</f>
        <v>0.04</v>
      </c>
      <c r="K138" s="17" t="n">
        <f aca="false">IF(OR(I138="",J138=""),"",I138/J138)</f>
        <v>0</v>
      </c>
      <c r="L138" s="14" t="n">
        <v>0</v>
      </c>
      <c r="M138" s="18" t="n">
        <v>0</v>
      </c>
      <c r="N138" s="14"/>
      <c r="O138" s="17" t="str">
        <f aca="false">IF(OR(N138="",G138=0),"",N138/G138)</f>
        <v/>
      </c>
      <c r="P138" s="19" t="n">
        <v>0</v>
      </c>
      <c r="Q138" s="20" t="n">
        <v>11.7</v>
      </c>
      <c r="R138" s="21" t="n">
        <v>46291</v>
      </c>
      <c r="S138" s="22" t="n">
        <f aca="false">IF(R138="","",'Como ler'!$B$27-R138)</f>
        <v>1</v>
      </c>
      <c r="T138" s="13" t="n">
        <v>0</v>
      </c>
      <c r="U138" s="13"/>
      <c r="V138" s="13" t="s">
        <v>47</v>
      </c>
      <c r="W138" s="13" t="s">
        <v>949</v>
      </c>
      <c r="X138" s="25" t="s">
        <v>104</v>
      </c>
      <c r="Y138" s="13" t="n">
        <f aca="false">ROUND(IF(K138="",0,MIN(40,40*K138/1.5))+IF(S138="",0,IF(S138&lt;=7,20,IF(S138&lt;=30,12,IF(S138&lt;=90,5,0))))+IF(Q138="",0,MIN(15,Q138*5))+IF(O138="",0,MIN(15,O138*30))+IF(E138="Criador(a)",10,IF(E138="Especialista que cria conteúdo",6,4)),0)</f>
        <v>39</v>
      </c>
      <c r="Z138" s="13" t="s">
        <v>105</v>
      </c>
      <c r="AA138" s="13"/>
      <c r="AB138" s="13" t="s">
        <v>113</v>
      </c>
      <c r="AC138" s="13"/>
      <c r="AD138" s="13" t="s">
        <v>571</v>
      </c>
      <c r="AE138" s="13" t="s">
        <v>950</v>
      </c>
      <c r="AF138" s="13" t="s">
        <v>951</v>
      </c>
      <c r="AG138" s="24" t="s">
        <v>952</v>
      </c>
      <c r="AH138" s="13" t="s">
        <v>100</v>
      </c>
      <c r="AI138" s="13"/>
    </row>
    <row r="139" customFormat="false" ht="15" hidden="false" customHeight="false" outlineLevel="0" collapsed="false">
      <c r="A139" s="13" t="s">
        <v>36</v>
      </c>
      <c r="B139" s="13" t="s">
        <v>35</v>
      </c>
      <c r="C139" s="13" t="s">
        <v>953</v>
      </c>
      <c r="D139" s="13" t="s">
        <v>954</v>
      </c>
      <c r="E139" s="13" t="s">
        <v>157</v>
      </c>
      <c r="F139" s="13" t="s">
        <v>29</v>
      </c>
      <c r="G139" s="14" t="n">
        <v>1228</v>
      </c>
      <c r="H139" s="13" t="s">
        <v>18</v>
      </c>
      <c r="I139" s="15" t="n">
        <v>0.055</v>
      </c>
      <c r="J139" s="16" t="n">
        <f aca="false">IFERROR(INDEX('Como ler'!$B$20:$B$24,MATCH(H139,'Como ler'!$A$20:$A$24,0)),"")</f>
        <v>0.04</v>
      </c>
      <c r="K139" s="17" t="n">
        <f aca="false">IF(OR(I139="",J139=""),"",I139/J139)</f>
        <v>1.375</v>
      </c>
      <c r="L139" s="14" t="n">
        <v>56</v>
      </c>
      <c r="M139" s="18" t="n">
        <v>10.5</v>
      </c>
      <c r="N139" s="14" t="n">
        <v>179</v>
      </c>
      <c r="O139" s="17" t="n">
        <f aca="false">IF(OR(N139="",G139=0),"",N139/G139)</f>
        <v>0.145765472312704</v>
      </c>
      <c r="P139" s="19" t="n">
        <v>0.25</v>
      </c>
      <c r="Q139" s="20" t="n">
        <v>2.2</v>
      </c>
      <c r="R139" s="21" t="n">
        <v>46272</v>
      </c>
      <c r="S139" s="22" t="n">
        <f aca="false">IF(R139="","",'Como ler'!$B$27-R139)</f>
        <v>20</v>
      </c>
      <c r="T139" s="13" t="n">
        <v>0</v>
      </c>
      <c r="U139" s="13"/>
      <c r="V139" s="13" t="s">
        <v>45</v>
      </c>
      <c r="W139" s="13" t="s">
        <v>955</v>
      </c>
      <c r="X139" s="23" t="s">
        <v>94</v>
      </c>
      <c r="Y139" s="13" t="n">
        <f aca="false">ROUND(IF(K139="",0,MIN(40,40*K139/1.5))+IF(S139="",0,IF(S139&lt;=7,20,IF(S139&lt;=30,12,IF(S139&lt;=90,5,0))))+IF(Q139="",0,MIN(15,Q139*5))+IF(O139="",0,MIN(15,O139*30))+IF(E139="Criador(a)",10,IF(E139="Especialista que cria conteúdo",6,4)),0)</f>
        <v>70</v>
      </c>
      <c r="Z139" s="13" t="s">
        <v>355</v>
      </c>
      <c r="AA139" s="13"/>
      <c r="AB139" s="13"/>
      <c r="AC139" s="13"/>
      <c r="AD139" s="13" t="s">
        <v>956</v>
      </c>
      <c r="AE139" s="13" t="s">
        <v>957</v>
      </c>
      <c r="AF139" s="13" t="s">
        <v>958</v>
      </c>
      <c r="AG139" s="24" t="s">
        <v>959</v>
      </c>
      <c r="AH139" s="13" t="s">
        <v>100</v>
      </c>
      <c r="AI139" s="13"/>
    </row>
    <row r="140" customFormat="false" ht="15" hidden="false" customHeight="false" outlineLevel="0" collapsed="false">
      <c r="A140" s="13" t="s">
        <v>36</v>
      </c>
      <c r="B140" s="13"/>
      <c r="C140" s="13" t="s">
        <v>960</v>
      </c>
      <c r="D140" s="13" t="s">
        <v>961</v>
      </c>
      <c r="E140" s="13" t="s">
        <v>157</v>
      </c>
      <c r="F140" s="13" t="s">
        <v>28</v>
      </c>
      <c r="G140" s="14" t="n">
        <v>1091</v>
      </c>
      <c r="H140" s="13" t="s">
        <v>18</v>
      </c>
      <c r="I140" s="15" t="n">
        <v>0.011</v>
      </c>
      <c r="J140" s="16" t="n">
        <f aca="false">IFERROR(INDEX('Como ler'!$B$20:$B$24,MATCH(H140,'Como ler'!$A$20:$A$24,0)),"")</f>
        <v>0.04</v>
      </c>
      <c r="K140" s="17" t="n">
        <f aca="false">IF(OR(I140="",J140=""),"",I140/J140)</f>
        <v>0.275</v>
      </c>
      <c r="L140" s="14" t="n">
        <v>16</v>
      </c>
      <c r="M140" s="18" t="n">
        <v>2.2</v>
      </c>
      <c r="N140" s="14" t="n">
        <v>121</v>
      </c>
      <c r="O140" s="17" t="n">
        <f aca="false">IF(OR(N140="",G140=0),"",N140/G140)</f>
        <v>0.110907424381302</v>
      </c>
      <c r="P140" s="19" t="n">
        <v>0.08</v>
      </c>
      <c r="Q140" s="20" t="n">
        <v>0.1</v>
      </c>
      <c r="R140" s="21" t="n">
        <v>45933</v>
      </c>
      <c r="S140" s="22" t="n">
        <f aca="false">IF(R140="","",'Como ler'!$B$27-R140)</f>
        <v>359</v>
      </c>
      <c r="T140" s="13" t="n">
        <v>0</v>
      </c>
      <c r="U140" s="13"/>
      <c r="V140" s="13" t="s">
        <v>53</v>
      </c>
      <c r="W140" s="13" t="s">
        <v>962</v>
      </c>
      <c r="X140" s="26" t="s">
        <v>129</v>
      </c>
      <c r="Y140" s="13" t="n">
        <f aca="false">ROUND(IF(K140="",0,MIN(40,40*K140/1.5))+IF(S140="",0,IF(S140&lt;=7,20,IF(S140&lt;=30,12,IF(S140&lt;=90,5,0))))+IF(Q140="",0,MIN(15,Q140*5))+IF(O140="",0,MIN(15,O140*30))+IF(E140="Criador(a)",10,IF(E140="Especialista que cria conteúdo",6,4)),0)</f>
        <v>17</v>
      </c>
      <c r="Z140" s="13" t="s">
        <v>159</v>
      </c>
      <c r="AA140" s="13"/>
      <c r="AB140" s="13" t="s">
        <v>113</v>
      </c>
      <c r="AC140" s="13"/>
      <c r="AD140" s="13" t="s">
        <v>590</v>
      </c>
      <c r="AE140" s="13" t="s">
        <v>591</v>
      </c>
      <c r="AF140" s="13" t="s">
        <v>963</v>
      </c>
      <c r="AG140" s="24" t="s">
        <v>964</v>
      </c>
      <c r="AH140" s="13" t="s">
        <v>100</v>
      </c>
      <c r="AI140" s="13"/>
    </row>
    <row r="141" customFormat="false" ht="15" hidden="false" customHeight="false" outlineLevel="0" collapsed="false">
      <c r="A141" s="13" t="s">
        <v>37</v>
      </c>
      <c r="B141" s="13" t="s">
        <v>36</v>
      </c>
      <c r="C141" s="13" t="s">
        <v>965</v>
      </c>
      <c r="D141" s="13" t="s">
        <v>966</v>
      </c>
      <c r="E141" s="13" t="s">
        <v>157</v>
      </c>
      <c r="F141" s="13" t="s">
        <v>28</v>
      </c>
      <c r="G141" s="14" t="n">
        <v>76860</v>
      </c>
      <c r="H141" s="13" t="s">
        <v>20</v>
      </c>
      <c r="I141" s="15" t="n">
        <v>0.0155</v>
      </c>
      <c r="J141" s="16" t="n">
        <f aca="false">IFERROR(INDEX('Como ler'!$B$20:$B$24,MATCH(H141,'Como ler'!$A$20:$A$24,0)),"")</f>
        <v>0.015</v>
      </c>
      <c r="K141" s="17" t="n">
        <f aca="false">IF(OR(I141="",J141=""),"",I141/J141)</f>
        <v>1.03333333333333</v>
      </c>
      <c r="L141" s="14" t="n">
        <v>1070</v>
      </c>
      <c r="M141" s="18" t="n">
        <v>52.9</v>
      </c>
      <c r="N141" s="14" t="n">
        <v>3928</v>
      </c>
      <c r="O141" s="17" t="n">
        <f aca="false">IF(OR(N141="",G141=0),"",N141/G141)</f>
        <v>0.0511059068436118</v>
      </c>
      <c r="P141" s="19" t="n">
        <v>0.33</v>
      </c>
      <c r="Q141" s="20" t="n">
        <v>1.1</v>
      </c>
      <c r="R141" s="21" t="n">
        <v>46289</v>
      </c>
      <c r="S141" s="22" t="n">
        <f aca="false">IF(R141="","",'Como ler'!$B$27-R141)</f>
        <v>3</v>
      </c>
      <c r="T141" s="13" t="n">
        <v>3</v>
      </c>
      <c r="U141" s="13" t="s">
        <v>967</v>
      </c>
      <c r="V141" s="13" t="s">
        <v>55</v>
      </c>
      <c r="W141" s="13" t="s">
        <v>968</v>
      </c>
      <c r="X141" s="26" t="s">
        <v>129</v>
      </c>
      <c r="Y141" s="13" t="n">
        <f aca="false">ROUND(IF(K141="",0,MIN(40,40*K141/1.5))+IF(S141="",0,IF(S141&lt;=7,20,IF(S141&lt;=30,12,IF(S141&lt;=90,5,0))))+IF(Q141="",0,MIN(15,Q141*5))+IF(O141="",0,MIN(15,O141*30))+IF(E141="Criador(a)",10,IF(E141="Especialista que cria conteúdo",6,4)),0)</f>
        <v>61</v>
      </c>
      <c r="Z141" s="13"/>
      <c r="AA141" s="13"/>
      <c r="AB141" s="13" t="s">
        <v>113</v>
      </c>
      <c r="AC141" s="13"/>
      <c r="AD141" s="13" t="s">
        <v>969</v>
      </c>
      <c r="AE141" s="13" t="s">
        <v>970</v>
      </c>
      <c r="AF141" s="13" t="s">
        <v>971</v>
      </c>
      <c r="AG141" s="24" t="s">
        <v>972</v>
      </c>
      <c r="AH141" s="13" t="s">
        <v>100</v>
      </c>
      <c r="AI141" s="13"/>
    </row>
    <row r="142" customFormat="false" ht="15" hidden="false" customHeight="false" outlineLevel="0" collapsed="false">
      <c r="A142" s="13" t="s">
        <v>37</v>
      </c>
      <c r="B142" s="13" t="s">
        <v>36</v>
      </c>
      <c r="C142" s="13" t="s">
        <v>973</v>
      </c>
      <c r="D142" s="13" t="s">
        <v>974</v>
      </c>
      <c r="E142" s="13" t="s">
        <v>200</v>
      </c>
      <c r="F142" s="13" t="s">
        <v>201</v>
      </c>
      <c r="G142" s="14" t="n">
        <v>32288</v>
      </c>
      <c r="H142" s="13" t="s">
        <v>20</v>
      </c>
      <c r="I142" s="15"/>
      <c r="J142" s="16" t="n">
        <f aca="false">IFERROR(INDEX('Como ler'!$B$20:$B$24,MATCH(H142,'Como ler'!$A$20:$A$24,0)),"")</f>
        <v>0.015</v>
      </c>
      <c r="K142" s="17" t="str">
        <f aca="false">IF(OR(I142="",J142=""),"",I142/J142)</f>
        <v/>
      </c>
      <c r="L142" s="14"/>
      <c r="M142" s="18" t="n">
        <v>0</v>
      </c>
      <c r="N142" s="14"/>
      <c r="O142" s="17" t="str">
        <f aca="false">IF(OR(N142="",G142=0),"",N142/G142)</f>
        <v/>
      </c>
      <c r="P142" s="19" t="n">
        <v>0</v>
      </c>
      <c r="Q142" s="20" t="n">
        <v>0</v>
      </c>
      <c r="R142" s="21" t="n">
        <v>46175</v>
      </c>
      <c r="S142" s="22" t="n">
        <f aca="false">IF(R142="","",'Como ler'!$B$27-R142)</f>
        <v>117</v>
      </c>
      <c r="T142" s="13" t="n">
        <v>0</v>
      </c>
      <c r="U142" s="13"/>
      <c r="V142" s="13" t="s">
        <v>47</v>
      </c>
      <c r="W142" s="13" t="s">
        <v>975</v>
      </c>
      <c r="X142" s="25" t="s">
        <v>104</v>
      </c>
      <c r="Y142" s="13" t="n">
        <f aca="false">ROUND(IF(K142="",0,MIN(40,40*K142/1.5))+IF(S142="",0,IF(S142&lt;=7,20,IF(S142&lt;=30,12,IF(S142&lt;=90,5,0))))+IF(Q142="",0,MIN(15,Q142*5))+IF(O142="",0,MIN(15,O142*30))+IF(E142="Criador(a)",10,IF(E142="Especialista que cria conteúdo",6,4)),0)</f>
        <v>4</v>
      </c>
      <c r="Z142" s="13" t="s">
        <v>159</v>
      </c>
      <c r="AA142" s="13"/>
      <c r="AB142" s="13" t="s">
        <v>113</v>
      </c>
      <c r="AC142" s="13"/>
      <c r="AD142" s="13" t="s">
        <v>976</v>
      </c>
      <c r="AE142" s="13" t="s">
        <v>977</v>
      </c>
      <c r="AF142" s="13" t="s">
        <v>978</v>
      </c>
      <c r="AG142" s="24" t="s">
        <v>979</v>
      </c>
      <c r="AH142" s="13" t="s">
        <v>100</v>
      </c>
      <c r="AI142" s="13" t="s">
        <v>119</v>
      </c>
    </row>
    <row r="143" customFormat="false" ht="15" hidden="false" customHeight="false" outlineLevel="0" collapsed="false">
      <c r="A143" s="13" t="s">
        <v>37</v>
      </c>
      <c r="B143" s="13" t="s">
        <v>36</v>
      </c>
      <c r="C143" s="13" t="s">
        <v>980</v>
      </c>
      <c r="D143" s="13" t="s">
        <v>981</v>
      </c>
      <c r="E143" s="13" t="s">
        <v>30</v>
      </c>
      <c r="F143" s="13" t="s">
        <v>28</v>
      </c>
      <c r="G143" s="14" t="n">
        <v>18101</v>
      </c>
      <c r="H143" s="13" t="s">
        <v>19</v>
      </c>
      <c r="I143" s="15" t="n">
        <v>0.0054</v>
      </c>
      <c r="J143" s="16" t="n">
        <f aca="false">IFERROR(INDEX('Como ler'!$B$20:$B$24,MATCH(H143,'Como ler'!$A$20:$A$24,0)),"")</f>
        <v>0.025</v>
      </c>
      <c r="K143" s="17" t="n">
        <f aca="false">IF(OR(I143="",J143=""),"",I143/J143)</f>
        <v>0.216</v>
      </c>
      <c r="L143" s="14" t="n">
        <v>80</v>
      </c>
      <c r="M143" s="18" t="n">
        <v>14.3</v>
      </c>
      <c r="N143" s="14" t="n">
        <v>903</v>
      </c>
      <c r="O143" s="17" t="n">
        <f aca="false">IF(OR(N143="",G143=0),"",N143/G143)</f>
        <v>0.0498867465885863</v>
      </c>
      <c r="P143" s="19" t="n">
        <v>0.56</v>
      </c>
      <c r="Q143" s="20" t="n">
        <v>14</v>
      </c>
      <c r="R143" s="21" t="n">
        <v>46292</v>
      </c>
      <c r="S143" s="22" t="n">
        <f aca="false">IF(R143="","",'Como ler'!$B$27-R143)</f>
        <v>0</v>
      </c>
      <c r="T143" s="13" t="n">
        <v>0</v>
      </c>
      <c r="U143" s="13"/>
      <c r="V143" s="13" t="s">
        <v>45</v>
      </c>
      <c r="W143" s="13" t="s">
        <v>45</v>
      </c>
      <c r="X143" s="25" t="s">
        <v>104</v>
      </c>
      <c r="Y143" s="13" t="n">
        <f aca="false">ROUND(IF(K143="",0,MIN(40,40*K143/1.5))+IF(S143="",0,IF(S143&lt;=7,20,IF(S143&lt;=30,12,IF(S143&lt;=90,5,0))))+IF(Q143="",0,MIN(15,Q143*5))+IF(O143="",0,MIN(15,O143*30))+IF(E143="Criador(a)",10,IF(E143="Especialista que cria conteúdo",6,4)),0)</f>
        <v>52</v>
      </c>
      <c r="Z143" s="13" t="s">
        <v>105</v>
      </c>
      <c r="AA143" s="13"/>
      <c r="AB143" s="13" t="s">
        <v>113</v>
      </c>
      <c r="AC143" s="13"/>
      <c r="AD143" s="13" t="s">
        <v>982</v>
      </c>
      <c r="AE143" s="13" t="s">
        <v>983</v>
      </c>
      <c r="AF143" s="13" t="s">
        <v>984</v>
      </c>
      <c r="AG143" s="24" t="s">
        <v>985</v>
      </c>
      <c r="AH143" s="13" t="s">
        <v>100</v>
      </c>
      <c r="AI143" s="13"/>
    </row>
    <row r="144" customFormat="false" ht="15" hidden="false" customHeight="false" outlineLevel="0" collapsed="false">
      <c r="A144" s="13" t="s">
        <v>37</v>
      </c>
      <c r="B144" s="13"/>
      <c r="C144" s="13" t="s">
        <v>986</v>
      </c>
      <c r="D144" s="13" t="s">
        <v>987</v>
      </c>
      <c r="E144" s="13" t="s">
        <v>157</v>
      </c>
      <c r="F144" s="13" t="s">
        <v>28</v>
      </c>
      <c r="G144" s="14" t="n">
        <v>11251</v>
      </c>
      <c r="H144" s="13" t="s">
        <v>19</v>
      </c>
      <c r="I144" s="15" t="n">
        <v>0.0154</v>
      </c>
      <c r="J144" s="16" t="n">
        <f aca="false">IFERROR(INDEX('Como ler'!$B$20:$B$24,MATCH(H144,'Como ler'!$A$20:$A$24,0)),"")</f>
        <v>0.025</v>
      </c>
      <c r="K144" s="17" t="n">
        <f aca="false">IF(OR(I144="",J144=""),"",I144/J144)</f>
        <v>0.616</v>
      </c>
      <c r="L144" s="14" t="n">
        <v>148</v>
      </c>
      <c r="M144" s="18" t="n">
        <v>12.4</v>
      </c>
      <c r="N144" s="14" t="n">
        <v>808</v>
      </c>
      <c r="O144" s="17" t="n">
        <f aca="false">IF(OR(N144="",G144=0),"",N144/G144)</f>
        <v>0.0718158385921252</v>
      </c>
      <c r="P144" s="19" t="n">
        <v>0.58</v>
      </c>
      <c r="Q144" s="20" t="n">
        <v>0.1</v>
      </c>
      <c r="R144" s="21" t="n">
        <v>46223</v>
      </c>
      <c r="S144" s="22" t="n">
        <f aca="false">IF(R144="","",'Como ler'!$B$27-R144)</f>
        <v>69</v>
      </c>
      <c r="T144" s="13" t="n">
        <v>0</v>
      </c>
      <c r="U144" s="13"/>
      <c r="V144" s="13" t="s">
        <v>52</v>
      </c>
      <c r="W144" s="13" t="s">
        <v>988</v>
      </c>
      <c r="X144" s="23" t="s">
        <v>94</v>
      </c>
      <c r="Y144" s="13" t="n">
        <f aca="false">ROUND(IF(K144="",0,MIN(40,40*K144/1.5))+IF(S144="",0,IF(S144&lt;=7,20,IF(S144&lt;=30,12,IF(S144&lt;=90,5,0))))+IF(Q144="",0,MIN(15,Q144*5))+IF(O144="",0,MIN(15,O144*30))+IF(E144="Criador(a)",10,IF(E144="Especialista que cria conteúdo",6,4)),0)</f>
        <v>30</v>
      </c>
      <c r="Z144" s="13" t="s">
        <v>95</v>
      </c>
      <c r="AA144" s="13"/>
      <c r="AB144" s="13" t="s">
        <v>113</v>
      </c>
      <c r="AC144" s="13"/>
      <c r="AD144" s="13" t="s">
        <v>989</v>
      </c>
      <c r="AE144" s="13" t="s">
        <v>990</v>
      </c>
      <c r="AF144" s="13" t="s">
        <v>991</v>
      </c>
      <c r="AG144" s="24" t="s">
        <v>992</v>
      </c>
      <c r="AH144" s="13" t="s">
        <v>100</v>
      </c>
      <c r="AI144" s="13"/>
    </row>
    <row r="145" customFormat="false" ht="15" hidden="false" customHeight="false" outlineLevel="0" collapsed="false">
      <c r="A145" s="13" t="s">
        <v>37</v>
      </c>
      <c r="B145" s="13" t="s">
        <v>36</v>
      </c>
      <c r="C145" s="13" t="s">
        <v>993</v>
      </c>
      <c r="D145" s="13" t="s">
        <v>994</v>
      </c>
      <c r="E145" s="13" t="s">
        <v>30</v>
      </c>
      <c r="F145" s="13" t="s">
        <v>28</v>
      </c>
      <c r="G145" s="14" t="n">
        <v>8235</v>
      </c>
      <c r="H145" s="13" t="s">
        <v>19</v>
      </c>
      <c r="I145" s="15" t="n">
        <v>0.0024</v>
      </c>
      <c r="J145" s="16" t="n">
        <f aca="false">IFERROR(INDEX('Como ler'!$B$20:$B$24,MATCH(H145,'Como ler'!$A$20:$A$24,0)),"")</f>
        <v>0.025</v>
      </c>
      <c r="K145" s="17" t="n">
        <f aca="false">IF(OR(I145="",J145=""),"",I145/J145)</f>
        <v>0.096</v>
      </c>
      <c r="L145" s="14" t="n">
        <v>39</v>
      </c>
      <c r="M145" s="18" t="n">
        <v>2.8</v>
      </c>
      <c r="N145" s="14" t="n">
        <v>165</v>
      </c>
      <c r="O145" s="17" t="n">
        <f aca="false">IF(OR(N145="",G145=0),"",N145/G145)</f>
        <v>0.0200364298724954</v>
      </c>
      <c r="P145" s="19" t="n">
        <v>0.75</v>
      </c>
      <c r="Q145" s="20" t="n">
        <v>1.7</v>
      </c>
      <c r="R145" s="21" t="n">
        <v>46292</v>
      </c>
      <c r="S145" s="22" t="n">
        <f aca="false">IF(R145="","",'Como ler'!$B$27-R145)</f>
        <v>0</v>
      </c>
      <c r="T145" s="13" t="n">
        <v>0</v>
      </c>
      <c r="U145" s="13"/>
      <c r="V145" s="13" t="s">
        <v>55</v>
      </c>
      <c r="W145" s="13" t="s">
        <v>55</v>
      </c>
      <c r="X145" s="26" t="s">
        <v>129</v>
      </c>
      <c r="Y145" s="13" t="n">
        <f aca="false">ROUND(IF(K145="",0,MIN(40,40*K145/1.5))+IF(S145="",0,IF(S145&lt;=7,20,IF(S145&lt;=30,12,IF(S145&lt;=90,5,0))))+IF(Q145="",0,MIN(15,Q145*5))+IF(O145="",0,MIN(15,O145*30))+IF(E145="Criador(a)",10,IF(E145="Especialista que cria conteúdo",6,4)),0)</f>
        <v>42</v>
      </c>
      <c r="Z145" s="13" t="s">
        <v>105</v>
      </c>
      <c r="AA145" s="13"/>
      <c r="AB145" s="13" t="s">
        <v>113</v>
      </c>
      <c r="AC145" s="13" t="s">
        <v>181</v>
      </c>
      <c r="AD145" s="13" t="s">
        <v>995</v>
      </c>
      <c r="AE145" s="13" t="s">
        <v>996</v>
      </c>
      <c r="AF145" s="13" t="s">
        <v>997</v>
      </c>
      <c r="AG145" s="24" t="s">
        <v>998</v>
      </c>
      <c r="AH145" s="13" t="s">
        <v>100</v>
      </c>
      <c r="AI145" s="13"/>
    </row>
    <row r="146" customFormat="false" ht="15" hidden="false" customHeight="false" outlineLevel="0" collapsed="false">
      <c r="A146" s="13" t="s">
        <v>37</v>
      </c>
      <c r="B146" s="13" t="s">
        <v>36</v>
      </c>
      <c r="C146" s="13" t="s">
        <v>999</v>
      </c>
      <c r="D146" s="13" t="s">
        <v>1000</v>
      </c>
      <c r="E146" s="13" t="s">
        <v>157</v>
      </c>
      <c r="F146" s="13" t="s">
        <v>28</v>
      </c>
      <c r="G146" s="14" t="n">
        <v>6074</v>
      </c>
      <c r="H146" s="13" t="s">
        <v>19</v>
      </c>
      <c r="I146" s="15" t="n">
        <v>0.0738</v>
      </c>
      <c r="J146" s="16" t="n">
        <f aca="false">IFERROR(INDEX('Como ler'!$B$20:$B$24,MATCH(H146,'Como ler'!$A$20:$A$24,0)),"")</f>
        <v>0.025</v>
      </c>
      <c r="K146" s="17" t="n">
        <f aca="false">IF(OR(I146="",J146=""),"",I146/J146)</f>
        <v>2.952</v>
      </c>
      <c r="L146" s="14" t="n">
        <v>452</v>
      </c>
      <c r="M146" s="18" t="n">
        <v>1.6</v>
      </c>
      <c r="N146" s="14" t="n">
        <v>848</v>
      </c>
      <c r="O146" s="17" t="n">
        <f aca="false">IF(OR(N146="",G146=0),"",N146/G146)</f>
        <v>0.139611458676325</v>
      </c>
      <c r="P146" s="19" t="n">
        <v>0.17</v>
      </c>
      <c r="Q146" s="20" t="n">
        <v>1</v>
      </c>
      <c r="R146" s="21" t="n">
        <v>46289</v>
      </c>
      <c r="S146" s="22" t="n">
        <f aca="false">IF(R146="","",'Como ler'!$B$27-R146)</f>
        <v>3</v>
      </c>
      <c r="T146" s="13" t="n">
        <v>0</v>
      </c>
      <c r="U146" s="13"/>
      <c r="V146" s="13" t="s">
        <v>55</v>
      </c>
      <c r="W146" s="13" t="s">
        <v>55</v>
      </c>
      <c r="X146" s="26" t="s">
        <v>129</v>
      </c>
      <c r="Y146" s="13" t="n">
        <f aca="false">ROUND(IF(K146="",0,MIN(40,40*K146/1.5))+IF(S146="",0,IF(S146&lt;=7,20,IF(S146&lt;=30,12,IF(S146&lt;=90,5,0))))+IF(Q146="",0,MIN(15,Q146*5))+IF(O146="",0,MIN(15,O146*30))+IF(E146="Criador(a)",10,IF(E146="Especialista que cria conteúdo",6,4)),0)</f>
        <v>75</v>
      </c>
      <c r="Z146" s="13"/>
      <c r="AA146" s="13"/>
      <c r="AB146" s="13"/>
      <c r="AC146" s="13"/>
      <c r="AD146" s="13" t="s">
        <v>1001</v>
      </c>
      <c r="AE146" s="13" t="s">
        <v>1002</v>
      </c>
      <c r="AF146" s="13" t="s">
        <v>1003</v>
      </c>
      <c r="AG146" s="24" t="s">
        <v>1004</v>
      </c>
      <c r="AH146" s="13" t="s">
        <v>100</v>
      </c>
      <c r="AI146" s="13"/>
    </row>
    <row r="147" customFormat="false" ht="15" hidden="false" customHeight="false" outlineLevel="0" collapsed="false">
      <c r="A147" s="13" t="s">
        <v>37</v>
      </c>
      <c r="B147" s="13"/>
      <c r="C147" s="13" t="s">
        <v>1005</v>
      </c>
      <c r="D147" s="13" t="s">
        <v>1006</v>
      </c>
      <c r="E147" s="13" t="s">
        <v>30</v>
      </c>
      <c r="F147" s="13" t="s">
        <v>28</v>
      </c>
      <c r="G147" s="14" t="n">
        <v>5677</v>
      </c>
      <c r="H147" s="13" t="s">
        <v>19</v>
      </c>
      <c r="I147" s="15" t="n">
        <v>0.0467</v>
      </c>
      <c r="J147" s="16" t="n">
        <f aca="false">IFERROR(INDEX('Como ler'!$B$20:$B$24,MATCH(H147,'Como ler'!$A$20:$A$24,0)),"")</f>
        <v>0.025</v>
      </c>
      <c r="K147" s="17" t="n">
        <f aca="false">IF(OR(I147="",J147=""),"",I147/J147)</f>
        <v>1.868</v>
      </c>
      <c r="L147" s="14" t="n">
        <v>1006</v>
      </c>
      <c r="M147" s="18" t="n">
        <v>68.9</v>
      </c>
      <c r="N147" s="14" t="n">
        <v>2866</v>
      </c>
      <c r="O147" s="17" t="n">
        <f aca="false">IF(OR(N147="",G147=0),"",N147/G147)</f>
        <v>0.504844107803417</v>
      </c>
      <c r="P147" s="19" t="n">
        <v>0.5</v>
      </c>
      <c r="Q147" s="20" t="n">
        <v>0.2</v>
      </c>
      <c r="R147" s="21" t="n">
        <v>46282</v>
      </c>
      <c r="S147" s="22" t="n">
        <f aca="false">IF(R147="","",'Como ler'!$B$27-R147)</f>
        <v>10</v>
      </c>
      <c r="T147" s="13" t="n">
        <v>0</v>
      </c>
      <c r="U147" s="13"/>
      <c r="V147" s="13" t="s">
        <v>53</v>
      </c>
      <c r="W147" s="13" t="s">
        <v>1007</v>
      </c>
      <c r="X147" s="26" t="s">
        <v>129</v>
      </c>
      <c r="Y147" s="13" t="n">
        <f aca="false">ROUND(IF(K147="",0,MIN(40,40*K147/1.5))+IF(S147="",0,IF(S147&lt;=7,20,IF(S147&lt;=30,12,IF(S147&lt;=90,5,0))))+IF(Q147="",0,MIN(15,Q147*5))+IF(O147="",0,MIN(15,O147*30))+IF(E147="Criador(a)",10,IF(E147="Especialista que cria conteúdo",6,4)),0)</f>
        <v>78</v>
      </c>
      <c r="Z147" s="13"/>
      <c r="AA147" s="13"/>
      <c r="AB147" s="13"/>
      <c r="AC147" s="13"/>
      <c r="AD147" s="13" t="s">
        <v>989</v>
      </c>
      <c r="AE147" s="13" t="s">
        <v>1008</v>
      </c>
      <c r="AF147" s="13" t="s">
        <v>1009</v>
      </c>
      <c r="AG147" s="24" t="s">
        <v>1010</v>
      </c>
      <c r="AH147" s="13" t="s">
        <v>100</v>
      </c>
      <c r="AI147" s="13"/>
    </row>
    <row r="148" customFormat="false" ht="15" hidden="false" customHeight="false" outlineLevel="0" collapsed="false">
      <c r="A148" s="13" t="s">
        <v>37</v>
      </c>
      <c r="B148" s="13"/>
      <c r="C148" s="13" t="s">
        <v>1011</v>
      </c>
      <c r="D148" s="13" t="s">
        <v>1012</v>
      </c>
      <c r="E148" s="13" t="s">
        <v>30</v>
      </c>
      <c r="F148" s="13" t="s">
        <v>29</v>
      </c>
      <c r="G148" s="14" t="n">
        <v>3738</v>
      </c>
      <c r="H148" s="13" t="s">
        <v>19</v>
      </c>
      <c r="I148" s="15" t="n">
        <v>0.0048</v>
      </c>
      <c r="J148" s="16" t="n">
        <f aca="false">IFERROR(INDEX('Como ler'!$B$20:$B$24,MATCH(H148,'Como ler'!$A$20:$A$24,0)),"")</f>
        <v>0.025</v>
      </c>
      <c r="K148" s="17" t="n">
        <f aca="false">IF(OR(I148="",J148=""),"",I148/J148)</f>
        <v>0.192</v>
      </c>
      <c r="L148" s="14" t="n">
        <v>21</v>
      </c>
      <c r="M148" s="18" t="n">
        <v>2</v>
      </c>
      <c r="N148" s="14" t="n">
        <v>210</v>
      </c>
      <c r="O148" s="17" t="n">
        <f aca="false">IF(OR(N148="",G148=0),"",N148/G148)</f>
        <v>0.0561797752808989</v>
      </c>
      <c r="P148" s="19" t="n">
        <v>0.56</v>
      </c>
      <c r="Q148" s="20" t="n">
        <v>0.1</v>
      </c>
      <c r="R148" s="21" t="n">
        <v>46278</v>
      </c>
      <c r="S148" s="22" t="n">
        <f aca="false">IF(R148="","",'Como ler'!$B$27-R148)</f>
        <v>14</v>
      </c>
      <c r="T148" s="13" t="n">
        <v>0</v>
      </c>
      <c r="U148" s="13"/>
      <c r="V148" s="13" t="s">
        <v>52</v>
      </c>
      <c r="W148" s="13" t="s">
        <v>52</v>
      </c>
      <c r="X148" s="23" t="s">
        <v>94</v>
      </c>
      <c r="Y148" s="13" t="n">
        <f aca="false">ROUND(IF(K148="",0,MIN(40,40*K148/1.5))+IF(S148="",0,IF(S148&lt;=7,20,IF(S148&lt;=30,12,IF(S148&lt;=90,5,0))))+IF(Q148="",0,MIN(15,Q148*5))+IF(O148="",0,MIN(15,O148*30))+IF(E148="Criador(a)",10,IF(E148="Especialista que cria conteúdo",6,4)),0)</f>
        <v>29</v>
      </c>
      <c r="Z148" s="13"/>
      <c r="AA148" s="13"/>
      <c r="AB148" s="13"/>
      <c r="AC148" s="13"/>
      <c r="AD148" s="13" t="s">
        <v>1013</v>
      </c>
      <c r="AE148" s="13"/>
      <c r="AF148" s="13" t="s">
        <v>1014</v>
      </c>
      <c r="AG148" s="24" t="s">
        <v>1015</v>
      </c>
      <c r="AH148" s="13" t="s">
        <v>100</v>
      </c>
      <c r="AI148" s="13"/>
    </row>
    <row r="149" customFormat="false" ht="15" hidden="false" customHeight="false" outlineLevel="0" collapsed="false">
      <c r="A149" s="13" t="s">
        <v>37</v>
      </c>
      <c r="B149" s="13" t="s">
        <v>36</v>
      </c>
      <c r="C149" s="13" t="s">
        <v>1016</v>
      </c>
      <c r="D149" s="13" t="s">
        <v>1017</v>
      </c>
      <c r="E149" s="13" t="s">
        <v>157</v>
      </c>
      <c r="F149" s="13" t="s">
        <v>28</v>
      </c>
      <c r="G149" s="14" t="n">
        <v>2586</v>
      </c>
      <c r="H149" s="13" t="s">
        <v>18</v>
      </c>
      <c r="I149" s="15" t="n">
        <v>0.0046</v>
      </c>
      <c r="J149" s="16" t="n">
        <f aca="false">IFERROR(INDEX('Como ler'!$B$20:$B$24,MATCH(H149,'Como ler'!$A$20:$A$24,0)),"")</f>
        <v>0.04</v>
      </c>
      <c r="K149" s="17" t="n">
        <f aca="false">IF(OR(I149="",J149=""),"",I149/J149)</f>
        <v>0.115</v>
      </c>
      <c r="L149" s="14" t="n">
        <v>29</v>
      </c>
      <c r="M149" s="18" t="n">
        <v>2.4</v>
      </c>
      <c r="N149" s="14" t="n">
        <v>234</v>
      </c>
      <c r="O149" s="17" t="n">
        <f aca="false">IF(OR(N149="",G149=0),"",N149/G149)</f>
        <v>0.0904872389791183</v>
      </c>
      <c r="P149" s="19" t="n">
        <v>0.44</v>
      </c>
      <c r="Q149" s="20" t="n">
        <v>2.1</v>
      </c>
      <c r="R149" s="21" t="n">
        <v>46291</v>
      </c>
      <c r="S149" s="22" t="n">
        <f aca="false">IF(R149="","",'Como ler'!$B$27-R149)</f>
        <v>1</v>
      </c>
      <c r="T149" s="13" t="n">
        <v>0</v>
      </c>
      <c r="U149" s="13"/>
      <c r="V149" s="13" t="s">
        <v>55</v>
      </c>
      <c r="W149" s="13" t="s">
        <v>1018</v>
      </c>
      <c r="X149" s="23" t="s">
        <v>94</v>
      </c>
      <c r="Y149" s="13" t="n">
        <f aca="false">ROUND(IF(K149="",0,MIN(40,40*K149/1.5))+IF(S149="",0,IF(S149&lt;=7,20,IF(S149&lt;=30,12,IF(S149&lt;=90,5,0))))+IF(Q149="",0,MIN(15,Q149*5))+IF(O149="",0,MIN(15,O149*30))+IF(E149="Criador(a)",10,IF(E149="Especialista que cria conteúdo",6,4)),0)</f>
        <v>42</v>
      </c>
      <c r="Z149" s="13" t="s">
        <v>399</v>
      </c>
      <c r="AA149" s="13"/>
      <c r="AB149" s="13" t="s">
        <v>113</v>
      </c>
      <c r="AC149" s="13"/>
      <c r="AD149" s="13" t="s">
        <v>1019</v>
      </c>
      <c r="AE149" s="13" t="s">
        <v>1020</v>
      </c>
      <c r="AF149" s="13" t="s">
        <v>1021</v>
      </c>
      <c r="AG149" s="24" t="s">
        <v>1022</v>
      </c>
      <c r="AH149" s="13" t="s">
        <v>100</v>
      </c>
      <c r="AI149" s="13"/>
    </row>
    <row r="150" customFormat="false" ht="15" hidden="false" customHeight="false" outlineLevel="0" collapsed="false">
      <c r="A150" s="13" t="s">
        <v>38</v>
      </c>
      <c r="B150" s="13"/>
      <c r="C150" s="13" t="s">
        <v>1023</v>
      </c>
      <c r="D150" s="13" t="s">
        <v>1024</v>
      </c>
      <c r="E150" s="13" t="s">
        <v>200</v>
      </c>
      <c r="F150" s="13" t="s">
        <v>484</v>
      </c>
      <c r="G150" s="14" t="n">
        <v>158820</v>
      </c>
      <c r="H150" s="13" t="s">
        <v>21</v>
      </c>
      <c r="I150" s="15" t="n">
        <v>0.0008</v>
      </c>
      <c r="J150" s="16" t="n">
        <f aca="false">IFERROR(INDEX('Como ler'!$B$20:$B$24,MATCH(H150,'Como ler'!$A$20:$A$24,0)),"")</f>
        <v>0.01</v>
      </c>
      <c r="K150" s="17" t="n">
        <f aca="false">IF(OR(I150="",J150=""),"",I150/J150)</f>
        <v>0.08</v>
      </c>
      <c r="L150" s="14" t="n">
        <v>284</v>
      </c>
      <c r="M150" s="18" t="n">
        <v>6.6</v>
      </c>
      <c r="N150" s="14" t="n">
        <v>1299</v>
      </c>
      <c r="O150" s="17" t="n">
        <f aca="false">IF(OR(N150="",G150=0),"",N150/G150)</f>
        <v>0.00817907064601436</v>
      </c>
      <c r="P150" s="19" t="n">
        <v>1</v>
      </c>
      <c r="Q150" s="20" t="n">
        <v>28</v>
      </c>
      <c r="R150" s="21" t="n">
        <v>46292</v>
      </c>
      <c r="S150" s="22" t="n">
        <f aca="false">IF(R150="","",'Como ler'!$B$27-R150)</f>
        <v>0</v>
      </c>
      <c r="T150" s="13" t="n">
        <v>0</v>
      </c>
      <c r="U150" s="13"/>
      <c r="V150" s="13" t="s">
        <v>54</v>
      </c>
      <c r="W150" s="13" t="s">
        <v>1025</v>
      </c>
      <c r="X150" s="25" t="s">
        <v>104</v>
      </c>
      <c r="Y150" s="13" t="n">
        <f aca="false">ROUND(IF(K150="",0,MIN(40,40*K150/1.5))+IF(S150="",0,IF(S150&lt;=7,20,IF(S150&lt;=30,12,IF(S150&lt;=90,5,0))))+IF(Q150="",0,MIN(15,Q150*5))+IF(O150="",0,MIN(15,O150*30))+IF(E150="Criador(a)",10,IF(E150="Especialista que cria conteúdo",6,4)),0)</f>
        <v>41</v>
      </c>
      <c r="Z150" s="13"/>
      <c r="AA150" s="13" t="s">
        <v>113</v>
      </c>
      <c r="AB150" s="13" t="s">
        <v>113</v>
      </c>
      <c r="AC150" s="13"/>
      <c r="AD150" s="13" t="s">
        <v>1026</v>
      </c>
      <c r="AE150" s="13" t="s">
        <v>1027</v>
      </c>
      <c r="AF150" s="13" t="s">
        <v>1028</v>
      </c>
      <c r="AG150" s="24" t="s">
        <v>1029</v>
      </c>
      <c r="AH150" s="13" t="s">
        <v>100</v>
      </c>
      <c r="AI150" s="13"/>
    </row>
    <row r="151" customFormat="false" ht="15" hidden="false" customHeight="false" outlineLevel="0" collapsed="false">
      <c r="A151" s="13" t="s">
        <v>38</v>
      </c>
      <c r="B151" s="13"/>
      <c r="C151" s="13" t="s">
        <v>1030</v>
      </c>
      <c r="D151" s="13" t="s">
        <v>1031</v>
      </c>
      <c r="E151" s="13" t="s">
        <v>30</v>
      </c>
      <c r="F151" s="13" t="s">
        <v>28</v>
      </c>
      <c r="G151" s="14" t="n">
        <v>116397</v>
      </c>
      <c r="H151" s="13" t="s">
        <v>21</v>
      </c>
      <c r="I151" s="15" t="n">
        <v>0.0093</v>
      </c>
      <c r="J151" s="16" t="n">
        <f aca="false">IFERROR(INDEX('Como ler'!$B$20:$B$24,MATCH(H151,'Como ler'!$A$20:$A$24,0)),"")</f>
        <v>0.01</v>
      </c>
      <c r="K151" s="17" t="n">
        <f aca="false">IF(OR(I151="",J151=""),"",I151/J151)</f>
        <v>0.93</v>
      </c>
      <c r="L151" s="14" t="n">
        <v>1533</v>
      </c>
      <c r="M151" s="18" t="n">
        <v>102.1</v>
      </c>
      <c r="N151" s="14" t="n">
        <v>6842</v>
      </c>
      <c r="O151" s="17" t="n">
        <f aca="false">IF(OR(N151="",G151=0),"",N151/G151)</f>
        <v>0.0587815837177934</v>
      </c>
      <c r="P151" s="19" t="n">
        <v>0.22</v>
      </c>
      <c r="Q151" s="20" t="n">
        <v>2</v>
      </c>
      <c r="R151" s="21" t="n">
        <v>46287</v>
      </c>
      <c r="S151" s="22" t="n">
        <f aca="false">IF(R151="","",'Como ler'!$B$27-R151)</f>
        <v>5</v>
      </c>
      <c r="T151" s="13" t="n">
        <v>1</v>
      </c>
      <c r="U151" s="13"/>
      <c r="V151" s="13" t="s">
        <v>44</v>
      </c>
      <c r="W151" s="13" t="s">
        <v>1032</v>
      </c>
      <c r="X151" s="26" t="s">
        <v>129</v>
      </c>
      <c r="Y151" s="13" t="n">
        <f aca="false">ROUND(IF(K151="",0,MIN(40,40*K151/1.5))+IF(S151="",0,IF(S151&lt;=7,20,IF(S151&lt;=30,12,IF(S151&lt;=90,5,0))))+IF(Q151="",0,MIN(15,Q151*5))+IF(O151="",0,MIN(15,O151*30))+IF(E151="Criador(a)",10,IF(E151="Especialista que cria conteúdo",6,4)),0)</f>
        <v>67</v>
      </c>
      <c r="Z151" s="13" t="s">
        <v>289</v>
      </c>
      <c r="AA151" s="13" t="s">
        <v>113</v>
      </c>
      <c r="AB151" s="13"/>
      <c r="AC151" s="13" t="s">
        <v>181</v>
      </c>
      <c r="AD151" s="13" t="s">
        <v>1033</v>
      </c>
      <c r="AE151" s="13" t="s">
        <v>1034</v>
      </c>
      <c r="AF151" s="13" t="s">
        <v>1035</v>
      </c>
      <c r="AG151" s="24" t="s">
        <v>1036</v>
      </c>
      <c r="AH151" s="13" t="s">
        <v>100</v>
      </c>
      <c r="AI151" s="13"/>
    </row>
    <row r="152" customFormat="false" ht="15" hidden="false" customHeight="false" outlineLevel="0" collapsed="false">
      <c r="A152" s="13" t="s">
        <v>38</v>
      </c>
      <c r="B152" s="13" t="s">
        <v>1037</v>
      </c>
      <c r="C152" s="13" t="s">
        <v>1038</v>
      </c>
      <c r="D152" s="13" t="s">
        <v>1039</v>
      </c>
      <c r="E152" s="13" t="s">
        <v>157</v>
      </c>
      <c r="F152" s="13" t="s">
        <v>29</v>
      </c>
      <c r="G152" s="14" t="n">
        <v>85000</v>
      </c>
      <c r="H152" s="13" t="s">
        <v>20</v>
      </c>
      <c r="I152" s="15" t="n">
        <v>0.0028</v>
      </c>
      <c r="J152" s="16" t="n">
        <f aca="false">IFERROR(INDEX('Como ler'!$B$20:$B$24,MATCH(H152,'Como ler'!$A$20:$A$24,0)),"")</f>
        <v>0.015</v>
      </c>
      <c r="K152" s="17" t="n">
        <f aca="false">IF(OR(I152="",J152=""),"",I152/J152)</f>
        <v>0.186666666666667</v>
      </c>
      <c r="L152" s="14" t="n">
        <v>274</v>
      </c>
      <c r="M152" s="18" t="n">
        <v>47.7</v>
      </c>
      <c r="N152" s="14" t="n">
        <v>3374</v>
      </c>
      <c r="O152" s="17" t="n">
        <f aca="false">IF(OR(N152="",G152=0),"",N152/G152)</f>
        <v>0.0396941176470588</v>
      </c>
      <c r="P152" s="19" t="n">
        <v>0.56</v>
      </c>
      <c r="Q152" s="20" t="n">
        <v>2.2</v>
      </c>
      <c r="R152" s="21" t="n">
        <v>46291</v>
      </c>
      <c r="S152" s="22" t="n">
        <f aca="false">IF(R152="","",'Como ler'!$B$27-R152)</f>
        <v>1</v>
      </c>
      <c r="T152" s="13" t="n">
        <v>0</v>
      </c>
      <c r="U152" s="13"/>
      <c r="V152" s="13" t="s">
        <v>49</v>
      </c>
      <c r="W152" s="13" t="s">
        <v>49</v>
      </c>
      <c r="X152" s="25" t="s">
        <v>104</v>
      </c>
      <c r="Y152" s="13" t="n">
        <f aca="false">ROUND(IF(K152="",0,MIN(40,40*K152/1.5))+IF(S152="",0,IF(S152&lt;=7,20,IF(S152&lt;=30,12,IF(S152&lt;=90,5,0))))+IF(Q152="",0,MIN(15,Q152*5))+IF(O152="",0,MIN(15,O152*30))+IF(E152="Criador(a)",10,IF(E152="Especialista que cria conteúdo",6,4)),0)</f>
        <v>43</v>
      </c>
      <c r="Z152" s="13"/>
      <c r="AA152" s="13" t="s">
        <v>113</v>
      </c>
      <c r="AB152" s="13" t="s">
        <v>113</v>
      </c>
      <c r="AC152" s="13" t="s">
        <v>114</v>
      </c>
      <c r="AD152" s="13" t="s">
        <v>1040</v>
      </c>
      <c r="AE152" s="13" t="s">
        <v>1041</v>
      </c>
      <c r="AF152" s="13" t="s">
        <v>1042</v>
      </c>
      <c r="AG152" s="24" t="s">
        <v>1043</v>
      </c>
      <c r="AH152" s="13" t="s">
        <v>100</v>
      </c>
      <c r="AI152" s="13"/>
    </row>
    <row r="153" customFormat="false" ht="15" hidden="false" customHeight="false" outlineLevel="0" collapsed="false">
      <c r="A153" s="13" t="s">
        <v>38</v>
      </c>
      <c r="B153" s="13"/>
      <c r="C153" s="13" t="s">
        <v>1044</v>
      </c>
      <c r="D153" s="13" t="s">
        <v>1045</v>
      </c>
      <c r="E153" s="13" t="s">
        <v>30</v>
      </c>
      <c r="F153" s="13" t="s">
        <v>28</v>
      </c>
      <c r="G153" s="14" t="n">
        <v>79919</v>
      </c>
      <c r="H153" s="13" t="s">
        <v>20</v>
      </c>
      <c r="I153" s="15" t="n">
        <v>0.0032</v>
      </c>
      <c r="J153" s="16" t="n">
        <f aca="false">IFERROR(INDEX('Como ler'!$B$20:$B$24,MATCH(H153,'Como ler'!$A$20:$A$24,0)),"")</f>
        <v>0.015</v>
      </c>
      <c r="K153" s="17" t="n">
        <f aca="false">IF(OR(I153="",J153=""),"",I153/J153)</f>
        <v>0.213333333333333</v>
      </c>
      <c r="L153" s="14" t="n">
        <v>249</v>
      </c>
      <c r="M153" s="18" t="n">
        <v>18.2</v>
      </c>
      <c r="N153" s="14" t="n">
        <v>2486</v>
      </c>
      <c r="O153" s="17" t="n">
        <f aca="false">IF(OR(N153="",G153=0),"",N153/G153)</f>
        <v>0.0311064953265181</v>
      </c>
      <c r="P153" s="19" t="n">
        <v>0.83</v>
      </c>
      <c r="Q153" s="20" t="n">
        <v>0.9</v>
      </c>
      <c r="R153" s="21" t="n">
        <v>46292</v>
      </c>
      <c r="S153" s="22" t="n">
        <f aca="false">IF(R153="","",'Como ler'!$B$27-R153)</f>
        <v>0</v>
      </c>
      <c r="T153" s="13" t="n">
        <v>0</v>
      </c>
      <c r="U153" s="13"/>
      <c r="V153" s="13" t="s">
        <v>42</v>
      </c>
      <c r="W153" s="13" t="s">
        <v>1046</v>
      </c>
      <c r="X153" s="23" t="s">
        <v>94</v>
      </c>
      <c r="Y153" s="13" t="n">
        <f aca="false">ROUND(IF(K153="",0,MIN(40,40*K153/1.5))+IF(S153="",0,IF(S153&lt;=7,20,IF(S153&lt;=30,12,IF(S153&lt;=90,5,0))))+IF(Q153="",0,MIN(15,Q153*5))+IF(O153="",0,MIN(15,O153*30))+IF(E153="Criador(a)",10,IF(E153="Especialista que cria conteúdo",6,4)),0)</f>
        <v>41</v>
      </c>
      <c r="Z153" s="13"/>
      <c r="AA153" s="13" t="s">
        <v>113</v>
      </c>
      <c r="AB153" s="13" t="s">
        <v>113</v>
      </c>
      <c r="AC153" s="13" t="s">
        <v>114</v>
      </c>
      <c r="AD153" s="13" t="s">
        <v>1047</v>
      </c>
      <c r="AE153" s="13" t="s">
        <v>1048</v>
      </c>
      <c r="AF153" s="13" t="s">
        <v>1049</v>
      </c>
      <c r="AG153" s="24" t="s">
        <v>1050</v>
      </c>
      <c r="AH153" s="13" t="s">
        <v>100</v>
      </c>
      <c r="AI153" s="13"/>
    </row>
    <row r="154" customFormat="false" ht="15" hidden="false" customHeight="false" outlineLevel="0" collapsed="false">
      <c r="A154" s="13" t="s">
        <v>38</v>
      </c>
      <c r="B154" s="13"/>
      <c r="C154" s="13" t="s">
        <v>1051</v>
      </c>
      <c r="D154" s="13" t="s">
        <v>1052</v>
      </c>
      <c r="E154" s="13" t="s">
        <v>200</v>
      </c>
      <c r="F154" s="13" t="s">
        <v>201</v>
      </c>
      <c r="G154" s="14" t="n">
        <v>71724</v>
      </c>
      <c r="H154" s="13" t="s">
        <v>20</v>
      </c>
      <c r="I154" s="15" t="n">
        <v>0.0071</v>
      </c>
      <c r="J154" s="16" t="n">
        <f aca="false">IFERROR(INDEX('Como ler'!$B$20:$B$24,MATCH(H154,'Como ler'!$A$20:$A$24,0)),"")</f>
        <v>0.015</v>
      </c>
      <c r="K154" s="17" t="n">
        <f aca="false">IF(OR(I154="",J154=""),"",I154/J154)</f>
        <v>0.473333333333333</v>
      </c>
      <c r="L154" s="14" t="n">
        <v>672</v>
      </c>
      <c r="M154" s="18" t="n">
        <v>16.5</v>
      </c>
      <c r="N154" s="14" t="n">
        <v>3072</v>
      </c>
      <c r="O154" s="17" t="n">
        <f aca="false">IF(OR(N154="",G154=0),"",N154/G154)</f>
        <v>0.0428308515977915</v>
      </c>
      <c r="P154" s="19" t="n">
        <v>1</v>
      </c>
      <c r="Q154" s="20" t="n">
        <v>11.7</v>
      </c>
      <c r="R154" s="21" t="n">
        <v>46292</v>
      </c>
      <c r="S154" s="22" t="n">
        <f aca="false">IF(R154="","",'Como ler'!$B$27-R154)</f>
        <v>0</v>
      </c>
      <c r="T154" s="13" t="n">
        <v>0</v>
      </c>
      <c r="U154" s="13"/>
      <c r="V154" s="13" t="s">
        <v>47</v>
      </c>
      <c r="W154" s="13" t="s">
        <v>603</v>
      </c>
      <c r="X154" s="25" t="s">
        <v>104</v>
      </c>
      <c r="Y154" s="13" t="n">
        <f aca="false">ROUND(IF(K154="",0,MIN(40,40*K154/1.5))+IF(S154="",0,IF(S154&lt;=7,20,IF(S154&lt;=30,12,IF(S154&lt;=90,5,0))))+IF(Q154="",0,MIN(15,Q154*5))+IF(O154="",0,MIN(15,O154*30))+IF(E154="Criador(a)",10,IF(E154="Especialista que cria conteúdo",6,4)),0)</f>
        <v>53</v>
      </c>
      <c r="Z154" s="13"/>
      <c r="AA154" s="13"/>
      <c r="AB154" s="13" t="s">
        <v>113</v>
      </c>
      <c r="AC154" s="13"/>
      <c r="AD154" s="13" t="s">
        <v>1053</v>
      </c>
      <c r="AE154" s="13" t="s">
        <v>1054</v>
      </c>
      <c r="AF154" s="13" t="s">
        <v>1055</v>
      </c>
      <c r="AG154" s="24" t="s">
        <v>1056</v>
      </c>
      <c r="AH154" s="13" t="s">
        <v>100</v>
      </c>
      <c r="AI154" s="13"/>
    </row>
    <row r="155" customFormat="false" ht="15" hidden="false" customHeight="false" outlineLevel="0" collapsed="false">
      <c r="A155" s="13" t="s">
        <v>38</v>
      </c>
      <c r="B155" s="13"/>
      <c r="C155" s="13" t="s">
        <v>1057</v>
      </c>
      <c r="D155" s="13" t="s">
        <v>1058</v>
      </c>
      <c r="E155" s="13" t="s">
        <v>200</v>
      </c>
      <c r="F155" s="13" t="s">
        <v>201</v>
      </c>
      <c r="G155" s="14" t="n">
        <v>60642</v>
      </c>
      <c r="H155" s="13" t="s">
        <v>20</v>
      </c>
      <c r="I155" s="15" t="n">
        <v>0.0053</v>
      </c>
      <c r="J155" s="16" t="n">
        <f aca="false">IFERROR(INDEX('Como ler'!$B$20:$B$24,MATCH(H155,'Como ler'!$A$20:$A$24,0)),"")</f>
        <v>0.015</v>
      </c>
      <c r="K155" s="17" t="n">
        <f aca="false">IF(OR(I155="",J155=""),"",I155/J155)</f>
        <v>0.353333333333333</v>
      </c>
      <c r="L155" s="14" t="n">
        <v>384</v>
      </c>
      <c r="M155" s="18" t="n">
        <v>16</v>
      </c>
      <c r="N155" s="14" t="n">
        <v>2362</v>
      </c>
      <c r="O155" s="17" t="n">
        <f aca="false">IF(OR(N155="",G155=0),"",N155/G155)</f>
        <v>0.0389499027076943</v>
      </c>
      <c r="P155" s="19" t="n">
        <v>0.92</v>
      </c>
      <c r="Q155" s="20" t="n">
        <v>0.6</v>
      </c>
      <c r="R155" s="21" t="n">
        <v>46292</v>
      </c>
      <c r="S155" s="22" t="n">
        <f aca="false">IF(R155="","",'Como ler'!$B$27-R155)</f>
        <v>0</v>
      </c>
      <c r="T155" s="13" t="n">
        <v>0</v>
      </c>
      <c r="U155" s="13"/>
      <c r="V155" s="13" t="s">
        <v>47</v>
      </c>
      <c r="W155" s="13" t="s">
        <v>975</v>
      </c>
      <c r="X155" s="25" t="s">
        <v>104</v>
      </c>
      <c r="Y155" s="13" t="n">
        <f aca="false">ROUND(IF(K155="",0,MIN(40,40*K155/1.5))+IF(S155="",0,IF(S155&lt;=7,20,IF(S155&lt;=30,12,IF(S155&lt;=90,5,0))))+IF(Q155="",0,MIN(15,Q155*5))+IF(O155="",0,MIN(15,O155*30))+IF(E155="Criador(a)",10,IF(E155="Especialista que cria conteúdo",6,4)),0)</f>
        <v>38</v>
      </c>
      <c r="Z155" s="13" t="s">
        <v>159</v>
      </c>
      <c r="AA155" s="13" t="s">
        <v>113</v>
      </c>
      <c r="AB155" s="13" t="s">
        <v>113</v>
      </c>
      <c r="AC155" s="13"/>
      <c r="AD155" s="13" t="s">
        <v>1059</v>
      </c>
      <c r="AE155" s="13" t="s">
        <v>1060</v>
      </c>
      <c r="AF155" s="13" t="s">
        <v>1061</v>
      </c>
      <c r="AG155" s="24" t="s">
        <v>1062</v>
      </c>
      <c r="AH155" s="13" t="s">
        <v>100</v>
      </c>
      <c r="AI155" s="13"/>
    </row>
    <row r="156" customFormat="false" ht="15" hidden="false" customHeight="false" outlineLevel="0" collapsed="false">
      <c r="A156" s="13" t="s">
        <v>38</v>
      </c>
      <c r="B156" s="13"/>
      <c r="C156" s="13" t="s">
        <v>1063</v>
      </c>
      <c r="D156" s="13" t="s">
        <v>1064</v>
      </c>
      <c r="E156" s="13" t="s">
        <v>200</v>
      </c>
      <c r="F156" s="13" t="s">
        <v>201</v>
      </c>
      <c r="G156" s="14" t="n">
        <v>49635</v>
      </c>
      <c r="H156" s="13" t="s">
        <v>20</v>
      </c>
      <c r="I156" s="15" t="n">
        <v>0.004</v>
      </c>
      <c r="J156" s="16" t="n">
        <f aca="false">IFERROR(INDEX('Como ler'!$B$20:$B$24,MATCH(H156,'Como ler'!$A$20:$A$24,0)),"")</f>
        <v>0.015</v>
      </c>
      <c r="K156" s="17" t="n">
        <f aca="false">IF(OR(I156="",J156=""),"",I156/J156)</f>
        <v>0.266666666666667</v>
      </c>
      <c r="L156" s="14" t="n">
        <v>339</v>
      </c>
      <c r="M156" s="18" t="n">
        <v>19.8</v>
      </c>
      <c r="N156" s="14" t="n">
        <v>3163</v>
      </c>
      <c r="O156" s="17" t="n">
        <f aca="false">IF(OR(N156="",G156=0),"",N156/G156)</f>
        <v>0.0637251939155838</v>
      </c>
      <c r="P156" s="19" t="n">
        <v>0.75</v>
      </c>
      <c r="Q156" s="20" t="n">
        <v>38.5</v>
      </c>
      <c r="R156" s="21" t="n">
        <v>46292</v>
      </c>
      <c r="S156" s="22" t="n">
        <f aca="false">IF(R156="","",'Como ler'!$B$27-R156)</f>
        <v>0</v>
      </c>
      <c r="T156" s="13" t="n">
        <v>0</v>
      </c>
      <c r="U156" s="13"/>
      <c r="V156" s="13" t="s">
        <v>47</v>
      </c>
      <c r="W156" s="13" t="s">
        <v>1065</v>
      </c>
      <c r="X156" s="25" t="s">
        <v>104</v>
      </c>
      <c r="Y156" s="13" t="n">
        <f aca="false">ROUND(IF(K156="",0,MIN(40,40*K156/1.5))+IF(S156="",0,IF(S156&lt;=7,20,IF(S156&lt;=30,12,IF(S156&lt;=90,5,0))))+IF(Q156="",0,MIN(15,Q156*5))+IF(O156="",0,MIN(15,O156*30))+IF(E156="Criador(a)",10,IF(E156="Especialista que cria conteúdo",6,4)),0)</f>
        <v>48</v>
      </c>
      <c r="Z156" s="13" t="s">
        <v>105</v>
      </c>
      <c r="AA156" s="13"/>
      <c r="AB156" s="13"/>
      <c r="AC156" s="13" t="s">
        <v>130</v>
      </c>
      <c r="AD156" s="13" t="s">
        <v>1066</v>
      </c>
      <c r="AE156" s="13" t="s">
        <v>1067</v>
      </c>
      <c r="AF156" s="13" t="s">
        <v>1068</v>
      </c>
      <c r="AG156" s="24" t="s">
        <v>1069</v>
      </c>
      <c r="AH156" s="13" t="s">
        <v>100</v>
      </c>
      <c r="AI156" s="13"/>
    </row>
    <row r="157" customFormat="false" ht="15" hidden="false" customHeight="false" outlineLevel="0" collapsed="false">
      <c r="A157" s="13" t="s">
        <v>38</v>
      </c>
      <c r="B157" s="13"/>
      <c r="C157" s="13" t="s">
        <v>1070</v>
      </c>
      <c r="D157" s="13" t="s">
        <v>1071</v>
      </c>
      <c r="E157" s="13" t="s">
        <v>30</v>
      </c>
      <c r="F157" s="13" t="s">
        <v>29</v>
      </c>
      <c r="G157" s="14" t="n">
        <v>48699</v>
      </c>
      <c r="H157" s="13" t="s">
        <v>20</v>
      </c>
      <c r="I157" s="15" t="n">
        <v>0.0036</v>
      </c>
      <c r="J157" s="16" t="n">
        <f aca="false">IFERROR(INDEX('Como ler'!$B$20:$B$24,MATCH(H157,'Como ler'!$A$20:$A$24,0)),"")</f>
        <v>0.015</v>
      </c>
      <c r="K157" s="17" t="n">
        <f aca="false">IF(OR(I157="",J157=""),"",I157/J157)</f>
        <v>0.24</v>
      </c>
      <c r="L157" s="14" t="n">
        <v>140</v>
      </c>
      <c r="M157" s="18" t="n">
        <v>29.9</v>
      </c>
      <c r="N157" s="14" t="n">
        <v>1936</v>
      </c>
      <c r="O157" s="17" t="n">
        <f aca="false">IF(OR(N157="",G157=0),"",N157/G157)</f>
        <v>0.0397544097414731</v>
      </c>
      <c r="P157" s="19" t="n">
        <v>0.67</v>
      </c>
      <c r="Q157" s="20" t="n">
        <v>1.5</v>
      </c>
      <c r="R157" s="21" t="n">
        <v>46290</v>
      </c>
      <c r="S157" s="22" t="n">
        <f aca="false">IF(R157="","",'Como ler'!$B$27-R157)</f>
        <v>2</v>
      </c>
      <c r="T157" s="13" t="n">
        <v>0</v>
      </c>
      <c r="U157" s="13"/>
      <c r="V157" s="13" t="s">
        <v>48</v>
      </c>
      <c r="W157" s="13" t="s">
        <v>48</v>
      </c>
      <c r="X157" s="25" t="s">
        <v>104</v>
      </c>
      <c r="Y157" s="13" t="n">
        <f aca="false">ROUND(IF(K157="",0,MIN(40,40*K157/1.5))+IF(S157="",0,IF(S157&lt;=7,20,IF(S157&lt;=30,12,IF(S157&lt;=90,5,0))))+IF(Q157="",0,MIN(15,Q157*5))+IF(O157="",0,MIN(15,O157*30))+IF(E157="Criador(a)",10,IF(E157="Especialista que cria conteúdo",6,4)),0)</f>
        <v>45</v>
      </c>
      <c r="Z157" s="13" t="s">
        <v>672</v>
      </c>
      <c r="AA157" s="13" t="s">
        <v>113</v>
      </c>
      <c r="AB157" s="13" t="s">
        <v>113</v>
      </c>
      <c r="AC157" s="13" t="s">
        <v>114</v>
      </c>
      <c r="AD157" s="13" t="s">
        <v>1072</v>
      </c>
      <c r="AE157" s="13" t="s">
        <v>1073</v>
      </c>
      <c r="AF157" s="13" t="s">
        <v>1074</v>
      </c>
      <c r="AG157" s="24" t="s">
        <v>1075</v>
      </c>
      <c r="AH157" s="13" t="s">
        <v>100</v>
      </c>
      <c r="AI157" s="13"/>
    </row>
    <row r="158" customFormat="false" ht="15" hidden="false" customHeight="false" outlineLevel="0" collapsed="false">
      <c r="A158" s="13" t="s">
        <v>38</v>
      </c>
      <c r="B158" s="13"/>
      <c r="C158" s="13" t="s">
        <v>1076</v>
      </c>
      <c r="D158" s="13" t="s">
        <v>1077</v>
      </c>
      <c r="E158" s="13" t="s">
        <v>200</v>
      </c>
      <c r="F158" s="13" t="s">
        <v>201</v>
      </c>
      <c r="G158" s="14" t="n">
        <v>38064</v>
      </c>
      <c r="H158" s="13" t="s">
        <v>20</v>
      </c>
      <c r="I158" s="15" t="n">
        <v>0.0028</v>
      </c>
      <c r="J158" s="16" t="n">
        <f aca="false">IFERROR(INDEX('Como ler'!$B$20:$B$24,MATCH(H158,'Como ler'!$A$20:$A$24,0)),"")</f>
        <v>0.015</v>
      </c>
      <c r="K158" s="17" t="n">
        <f aca="false">IF(OR(I158="",J158=""),"",I158/J158)</f>
        <v>0.186666666666667</v>
      </c>
      <c r="L158" s="14" t="n">
        <v>204</v>
      </c>
      <c r="M158" s="18" t="n">
        <v>18.1</v>
      </c>
      <c r="N158" s="14" t="n">
        <v>3166</v>
      </c>
      <c r="O158" s="17" t="n">
        <f aca="false">IF(OR(N158="",G158=0),"",N158/G158)</f>
        <v>0.0831757040773434</v>
      </c>
      <c r="P158" s="19" t="n">
        <v>0.5</v>
      </c>
      <c r="Q158" s="20" t="n">
        <v>15.8</v>
      </c>
      <c r="R158" s="21" t="n">
        <v>46291</v>
      </c>
      <c r="S158" s="22" t="n">
        <f aca="false">IF(R158="","",'Como ler'!$B$27-R158)</f>
        <v>1</v>
      </c>
      <c r="T158" s="13" t="n">
        <v>0</v>
      </c>
      <c r="U158" s="13"/>
      <c r="V158" s="13" t="s">
        <v>57</v>
      </c>
      <c r="W158" s="13" t="s">
        <v>57</v>
      </c>
      <c r="X158" s="25" t="s">
        <v>104</v>
      </c>
      <c r="Y158" s="13" t="n">
        <f aca="false">ROUND(IF(K158="",0,MIN(40,40*K158/1.5))+IF(S158="",0,IF(S158&lt;=7,20,IF(S158&lt;=30,12,IF(S158&lt;=90,5,0))))+IF(Q158="",0,MIN(15,Q158*5))+IF(O158="",0,MIN(15,O158*30))+IF(E158="Criador(a)",10,IF(E158="Especialista que cria conteúdo",6,4)),0)</f>
        <v>46</v>
      </c>
      <c r="Z158" s="13" t="s">
        <v>231</v>
      </c>
      <c r="AA158" s="13" t="s">
        <v>113</v>
      </c>
      <c r="AB158" s="13"/>
      <c r="AC158" s="13" t="s">
        <v>130</v>
      </c>
      <c r="AD158" s="13" t="s">
        <v>1078</v>
      </c>
      <c r="AE158" s="13" t="s">
        <v>1079</v>
      </c>
      <c r="AF158" s="13" t="s">
        <v>1080</v>
      </c>
      <c r="AG158" s="24" t="s">
        <v>1081</v>
      </c>
      <c r="AH158" s="13" t="s">
        <v>100</v>
      </c>
      <c r="AI158" s="13"/>
    </row>
    <row r="159" customFormat="false" ht="15" hidden="false" customHeight="false" outlineLevel="0" collapsed="false">
      <c r="A159" s="13" t="s">
        <v>38</v>
      </c>
      <c r="B159" s="13" t="s">
        <v>36</v>
      </c>
      <c r="C159" s="13" t="s">
        <v>1082</v>
      </c>
      <c r="D159" s="13" t="s">
        <v>1083</v>
      </c>
      <c r="E159" s="13" t="s">
        <v>30</v>
      </c>
      <c r="F159" s="13" t="s">
        <v>28</v>
      </c>
      <c r="G159" s="14" t="n">
        <v>20011</v>
      </c>
      <c r="H159" s="13" t="s">
        <v>19</v>
      </c>
      <c r="I159" s="15" t="n">
        <v>0.0071</v>
      </c>
      <c r="J159" s="16" t="n">
        <f aca="false">IFERROR(INDEX('Como ler'!$B$20:$B$24,MATCH(H159,'Como ler'!$A$20:$A$24,0)),"")</f>
        <v>0.025</v>
      </c>
      <c r="K159" s="17" t="n">
        <f aca="false">IF(OR(I159="",J159=""),"",I159/J159)</f>
        <v>0.284</v>
      </c>
      <c r="L159" s="14" t="n">
        <v>485</v>
      </c>
      <c r="M159" s="18" t="n">
        <v>21.3</v>
      </c>
      <c r="N159" s="14" t="n">
        <v>1381</v>
      </c>
      <c r="O159" s="17" t="n">
        <f aca="false">IF(OR(N159="",G159=0),"",N159/G159)</f>
        <v>0.0690120433761431</v>
      </c>
      <c r="P159" s="19" t="n">
        <v>0.7</v>
      </c>
      <c r="Q159" s="20" t="n">
        <v>1.4</v>
      </c>
      <c r="R159" s="21" t="n">
        <v>46292</v>
      </c>
      <c r="S159" s="22" t="n">
        <f aca="false">IF(R159="","",'Como ler'!$B$27-R159)</f>
        <v>0</v>
      </c>
      <c r="T159" s="13" t="n">
        <v>0</v>
      </c>
      <c r="U159" s="13"/>
      <c r="V159" s="13" t="s">
        <v>55</v>
      </c>
      <c r="W159" s="13" t="s">
        <v>55</v>
      </c>
      <c r="X159" s="26" t="s">
        <v>129</v>
      </c>
      <c r="Y159" s="13" t="n">
        <f aca="false">ROUND(IF(K159="",0,MIN(40,40*K159/1.5))+IF(S159="",0,IF(S159&lt;=7,20,IF(S159&lt;=30,12,IF(S159&lt;=90,5,0))))+IF(Q159="",0,MIN(15,Q159*5))+IF(O159="",0,MIN(15,O159*30))+IF(E159="Criador(a)",10,IF(E159="Especialista que cria conteúdo",6,4)),0)</f>
        <v>47</v>
      </c>
      <c r="Z159" s="13" t="s">
        <v>105</v>
      </c>
      <c r="AA159" s="13"/>
      <c r="AB159" s="13" t="s">
        <v>113</v>
      </c>
      <c r="AC159" s="13"/>
      <c r="AD159" s="13" t="s">
        <v>1084</v>
      </c>
      <c r="AE159" s="13" t="s">
        <v>1085</v>
      </c>
      <c r="AF159" s="13" t="s">
        <v>1086</v>
      </c>
      <c r="AG159" s="24" t="s">
        <v>1087</v>
      </c>
      <c r="AH159" s="13" t="s">
        <v>100</v>
      </c>
      <c r="AI159" s="13"/>
    </row>
    <row r="160" customFormat="false" ht="15" hidden="false" customHeight="false" outlineLevel="0" collapsed="false">
      <c r="A160" s="13" t="s">
        <v>38</v>
      </c>
      <c r="B160" s="13"/>
      <c r="C160" s="13" t="s">
        <v>1088</v>
      </c>
      <c r="D160" s="13" t="s">
        <v>1089</v>
      </c>
      <c r="E160" s="13" t="s">
        <v>30</v>
      </c>
      <c r="F160" s="13" t="s">
        <v>28</v>
      </c>
      <c r="G160" s="14" t="n">
        <v>17530</v>
      </c>
      <c r="H160" s="13" t="s">
        <v>19</v>
      </c>
      <c r="I160" s="15" t="n">
        <v>0.0432</v>
      </c>
      <c r="J160" s="16" t="n">
        <f aca="false">IFERROR(INDEX('Como ler'!$B$20:$B$24,MATCH(H160,'Como ler'!$A$20:$A$24,0)),"")</f>
        <v>0.025</v>
      </c>
      <c r="K160" s="17" t="n">
        <f aca="false">IF(OR(I160="",J160=""),"",I160/J160)</f>
        <v>1.728</v>
      </c>
      <c r="L160" s="14" t="n">
        <v>824</v>
      </c>
      <c r="M160" s="18" t="n">
        <v>5.4</v>
      </c>
      <c r="N160" s="14" t="n">
        <v>6976</v>
      </c>
      <c r="O160" s="17" t="n">
        <f aca="false">IF(OR(N160="",G160=0),"",N160/G160)</f>
        <v>0.397946377638334</v>
      </c>
      <c r="P160" s="19" t="n">
        <v>0.78</v>
      </c>
      <c r="Q160" s="20" t="n">
        <v>1.4</v>
      </c>
      <c r="R160" s="21" t="n">
        <v>46292</v>
      </c>
      <c r="S160" s="22" t="n">
        <f aca="false">IF(R160="","",'Como ler'!$B$27-R160)</f>
        <v>0</v>
      </c>
      <c r="T160" s="13" t="n">
        <v>0</v>
      </c>
      <c r="U160" s="13"/>
      <c r="V160" s="13" t="s">
        <v>45</v>
      </c>
      <c r="W160" s="13" t="s">
        <v>45</v>
      </c>
      <c r="X160" s="25" t="s">
        <v>104</v>
      </c>
      <c r="Y160" s="13" t="n">
        <f aca="false">ROUND(IF(K160="",0,MIN(40,40*K160/1.5))+IF(S160="",0,IF(S160&lt;=7,20,IF(S160&lt;=30,12,IF(S160&lt;=90,5,0))))+IF(Q160="",0,MIN(15,Q160*5))+IF(O160="",0,MIN(15,O160*30))+IF(E160="Criador(a)",10,IF(E160="Especialista que cria conteúdo",6,4)),0)</f>
        <v>89</v>
      </c>
      <c r="Z160" s="13"/>
      <c r="AA160" s="13"/>
      <c r="AB160" s="13" t="s">
        <v>113</v>
      </c>
      <c r="AC160" s="13"/>
      <c r="AD160" s="13" t="s">
        <v>1090</v>
      </c>
      <c r="AE160" s="13" t="s">
        <v>1091</v>
      </c>
      <c r="AF160" s="13" t="s">
        <v>1092</v>
      </c>
      <c r="AG160" s="24" t="s">
        <v>1093</v>
      </c>
      <c r="AH160" s="13" t="s">
        <v>100</v>
      </c>
      <c r="AI160" s="13"/>
    </row>
    <row r="161" customFormat="false" ht="15" hidden="false" customHeight="false" outlineLevel="0" collapsed="false">
      <c r="A161" s="13" t="s">
        <v>38</v>
      </c>
      <c r="B161" s="13" t="s">
        <v>36</v>
      </c>
      <c r="C161" s="13" t="s">
        <v>1094</v>
      </c>
      <c r="D161" s="13" t="s">
        <v>1095</v>
      </c>
      <c r="E161" s="13" t="s">
        <v>157</v>
      </c>
      <c r="F161" s="13" t="s">
        <v>29</v>
      </c>
      <c r="G161" s="14" t="n">
        <v>10607</v>
      </c>
      <c r="H161" s="13" t="s">
        <v>19</v>
      </c>
      <c r="I161" s="15" t="n">
        <v>0.0017</v>
      </c>
      <c r="J161" s="16" t="n">
        <f aca="false">IFERROR(INDEX('Como ler'!$B$20:$B$24,MATCH(H161,'Como ler'!$A$20:$A$24,0)),"")</f>
        <v>0.025</v>
      </c>
      <c r="K161" s="17" t="n">
        <f aca="false">IF(OR(I161="",J161=""),"",I161/J161)</f>
        <v>0.068</v>
      </c>
      <c r="L161" s="14" t="n">
        <v>22</v>
      </c>
      <c r="M161" s="18" t="n">
        <v>1.4</v>
      </c>
      <c r="N161" s="14" t="n">
        <v>161</v>
      </c>
      <c r="O161" s="17" t="n">
        <f aca="false">IF(OR(N161="",G161=0),"",N161/G161)</f>
        <v>0.0151786556047893</v>
      </c>
      <c r="P161" s="19" t="n">
        <v>0.88</v>
      </c>
      <c r="Q161" s="20" t="n">
        <v>3.3</v>
      </c>
      <c r="R161" s="21" t="n">
        <v>46292</v>
      </c>
      <c r="S161" s="22" t="n">
        <f aca="false">IF(R161="","",'Como ler'!$B$27-R161)</f>
        <v>0</v>
      </c>
      <c r="T161" s="13" t="n">
        <v>0</v>
      </c>
      <c r="U161" s="13"/>
      <c r="V161" s="13" t="s">
        <v>49</v>
      </c>
      <c r="W161" s="13" t="s">
        <v>1096</v>
      </c>
      <c r="X161" s="23" t="s">
        <v>94</v>
      </c>
      <c r="Y161" s="13" t="n">
        <f aca="false">ROUND(IF(K161="",0,MIN(40,40*K161/1.5))+IF(S161="",0,IF(S161&lt;=7,20,IF(S161&lt;=30,12,IF(S161&lt;=90,5,0))))+IF(Q161="",0,MIN(15,Q161*5))+IF(O161="",0,MIN(15,O161*30))+IF(E161="Criador(a)",10,IF(E161="Especialista que cria conteúdo",6,4)),0)</f>
        <v>43</v>
      </c>
      <c r="Z161" s="13" t="s">
        <v>159</v>
      </c>
      <c r="AA161" s="13" t="s">
        <v>113</v>
      </c>
      <c r="AB161" s="13" t="s">
        <v>113</v>
      </c>
      <c r="AC161" s="13"/>
      <c r="AD161" s="13" t="s">
        <v>1097</v>
      </c>
      <c r="AE161" s="13" t="s">
        <v>1098</v>
      </c>
      <c r="AF161" s="13" t="s">
        <v>1099</v>
      </c>
      <c r="AG161" s="24" t="s">
        <v>1100</v>
      </c>
      <c r="AH161" s="13" t="s">
        <v>100</v>
      </c>
      <c r="AI161" s="13"/>
    </row>
    <row r="162" customFormat="false" ht="15" hidden="false" customHeight="false" outlineLevel="0" collapsed="false">
      <c r="A162" s="13" t="s">
        <v>38</v>
      </c>
      <c r="B162" s="13"/>
      <c r="C162" s="13" t="s">
        <v>1101</v>
      </c>
      <c r="D162" s="13" t="s">
        <v>1102</v>
      </c>
      <c r="E162" s="13" t="s">
        <v>157</v>
      </c>
      <c r="F162" s="13" t="s">
        <v>29</v>
      </c>
      <c r="G162" s="14" t="n">
        <v>10104</v>
      </c>
      <c r="H162" s="13" t="s">
        <v>19</v>
      </c>
      <c r="I162" s="15" t="n">
        <v>0.0174</v>
      </c>
      <c r="J162" s="16" t="n">
        <f aca="false">IFERROR(INDEX('Como ler'!$B$20:$B$24,MATCH(H162,'Como ler'!$A$20:$A$24,0)),"")</f>
        <v>0.025</v>
      </c>
      <c r="K162" s="17" t="n">
        <f aca="false">IF(OR(I162="",J162=""),"",I162/J162)</f>
        <v>0.696</v>
      </c>
      <c r="L162" s="14" t="n">
        <v>261</v>
      </c>
      <c r="M162" s="18" t="n">
        <v>20.2</v>
      </c>
      <c r="N162" s="14" t="n">
        <v>3774</v>
      </c>
      <c r="O162" s="17" t="n">
        <f aca="false">IF(OR(N162="",G162=0),"",N162/G162)</f>
        <v>0.373515439429929</v>
      </c>
      <c r="P162" s="19" t="n">
        <v>0.78</v>
      </c>
      <c r="Q162" s="20" t="n">
        <v>0.3</v>
      </c>
      <c r="R162" s="21" t="n">
        <v>46266</v>
      </c>
      <c r="S162" s="22" t="n">
        <f aca="false">IF(R162="","",'Como ler'!$B$27-R162)</f>
        <v>26</v>
      </c>
      <c r="T162" s="13" t="n">
        <v>0</v>
      </c>
      <c r="U162" s="13"/>
      <c r="V162" s="13" t="s">
        <v>49</v>
      </c>
      <c r="W162" s="13" t="s">
        <v>49</v>
      </c>
      <c r="X162" s="25" t="s">
        <v>104</v>
      </c>
      <c r="Y162" s="13" t="n">
        <f aca="false">ROUND(IF(K162="",0,MIN(40,40*K162/1.5))+IF(S162="",0,IF(S162&lt;=7,20,IF(S162&lt;=30,12,IF(S162&lt;=90,5,0))))+IF(Q162="",0,MIN(15,Q162*5))+IF(O162="",0,MIN(15,O162*30))+IF(E162="Criador(a)",10,IF(E162="Especialista que cria conteúdo",6,4)),0)</f>
        <v>49</v>
      </c>
      <c r="Z162" s="13" t="s">
        <v>159</v>
      </c>
      <c r="AA162" s="13"/>
      <c r="AB162" s="13"/>
      <c r="AC162" s="13"/>
      <c r="AD162" s="13" t="s">
        <v>1103</v>
      </c>
      <c r="AE162" s="13" t="s">
        <v>1104</v>
      </c>
      <c r="AF162" s="13" t="s">
        <v>1105</v>
      </c>
      <c r="AG162" s="24" t="s">
        <v>1106</v>
      </c>
      <c r="AH162" s="13" t="s">
        <v>100</v>
      </c>
      <c r="AI162" s="13"/>
    </row>
    <row r="163" customFormat="false" ht="15" hidden="false" customHeight="false" outlineLevel="0" collapsed="false">
      <c r="A163" s="13" t="s">
        <v>38</v>
      </c>
      <c r="B163" s="13"/>
      <c r="C163" s="13" t="s">
        <v>1107</v>
      </c>
      <c r="D163" s="13" t="s">
        <v>1108</v>
      </c>
      <c r="E163" s="13" t="s">
        <v>200</v>
      </c>
      <c r="F163" s="13" t="s">
        <v>201</v>
      </c>
      <c r="G163" s="14" t="n">
        <v>9748</v>
      </c>
      <c r="H163" s="13" t="s">
        <v>19</v>
      </c>
      <c r="I163" s="15" t="n">
        <v>0.0336</v>
      </c>
      <c r="J163" s="16" t="n">
        <f aca="false">IFERROR(INDEX('Como ler'!$B$20:$B$24,MATCH(H163,'Como ler'!$A$20:$A$24,0)),"")</f>
        <v>0.025</v>
      </c>
      <c r="K163" s="17" t="n">
        <f aca="false">IF(OR(I163="",J163=""),"",I163/J163)</f>
        <v>1.344</v>
      </c>
      <c r="L163" s="14" t="n">
        <v>318</v>
      </c>
      <c r="M163" s="18" t="n">
        <v>13.9</v>
      </c>
      <c r="N163" s="14" t="n">
        <v>2302</v>
      </c>
      <c r="O163" s="17" t="n">
        <f aca="false">IF(OR(N163="",G163=0),"",N163/G163)</f>
        <v>0.236151005334428</v>
      </c>
      <c r="P163" s="19" t="n">
        <v>0.83</v>
      </c>
      <c r="Q163" s="20" t="n">
        <v>9.6</v>
      </c>
      <c r="R163" s="21" t="n">
        <v>45546</v>
      </c>
      <c r="S163" s="22" t="n">
        <f aca="false">IF(R163="","",'Como ler'!$B$27-R163)</f>
        <v>746</v>
      </c>
      <c r="T163" s="13" t="n">
        <v>0</v>
      </c>
      <c r="U163" s="13"/>
      <c r="V163" s="13" t="s">
        <v>47</v>
      </c>
      <c r="W163" s="13" t="s">
        <v>47</v>
      </c>
      <c r="X163" s="25" t="s">
        <v>104</v>
      </c>
      <c r="Y163" s="13" t="n">
        <f aca="false">ROUND(IF(K163="",0,MIN(40,40*K163/1.5))+IF(S163="",0,IF(S163&lt;=7,20,IF(S163&lt;=30,12,IF(S163&lt;=90,5,0))))+IF(Q163="",0,MIN(15,Q163*5))+IF(O163="",0,MIN(15,O163*30))+IF(E163="Criador(a)",10,IF(E163="Especialista que cria conteúdo",6,4)),0)</f>
        <v>62</v>
      </c>
      <c r="Z163" s="13"/>
      <c r="AA163" s="13"/>
      <c r="AB163" s="13" t="s">
        <v>113</v>
      </c>
      <c r="AC163" s="13"/>
      <c r="AD163" s="13" t="s">
        <v>1109</v>
      </c>
      <c r="AE163" s="13" t="s">
        <v>1110</v>
      </c>
      <c r="AF163" s="13" t="s">
        <v>1111</v>
      </c>
      <c r="AG163" s="24" t="s">
        <v>1112</v>
      </c>
      <c r="AH163" s="13" t="s">
        <v>100</v>
      </c>
      <c r="AI163" s="13"/>
    </row>
    <row r="164" customFormat="false" ht="15" hidden="false" customHeight="false" outlineLevel="0" collapsed="false">
      <c r="A164" s="13" t="s">
        <v>38</v>
      </c>
      <c r="B164" s="13"/>
      <c r="C164" s="13" t="s">
        <v>1113</v>
      </c>
      <c r="D164" s="13" t="s">
        <v>1114</v>
      </c>
      <c r="E164" s="13" t="s">
        <v>157</v>
      </c>
      <c r="F164" s="13" t="s">
        <v>29</v>
      </c>
      <c r="G164" s="14" t="n">
        <v>7826</v>
      </c>
      <c r="H164" s="13" t="s">
        <v>19</v>
      </c>
      <c r="I164" s="15" t="n">
        <v>0.0014</v>
      </c>
      <c r="J164" s="16" t="n">
        <f aca="false">IFERROR(INDEX('Como ler'!$B$20:$B$24,MATCH(H164,'Como ler'!$A$20:$A$24,0)),"")</f>
        <v>0.025</v>
      </c>
      <c r="K164" s="17" t="n">
        <f aca="false">IF(OR(I164="",J164=""),"",I164/J164)</f>
        <v>0.056</v>
      </c>
      <c r="L164" s="14" t="n">
        <v>13</v>
      </c>
      <c r="M164" s="18" t="n">
        <v>2.8</v>
      </c>
      <c r="N164" s="14" t="n">
        <v>71</v>
      </c>
      <c r="O164" s="17" t="n">
        <f aca="false">IF(OR(N164="",G164=0),"",N164/G164)</f>
        <v>0.0090723230258114</v>
      </c>
      <c r="P164" s="19" t="n">
        <v>0.75</v>
      </c>
      <c r="Q164" s="20" t="n">
        <v>1.7</v>
      </c>
      <c r="R164" s="21" t="n">
        <v>46290</v>
      </c>
      <c r="S164" s="22" t="n">
        <f aca="false">IF(R164="","",'Como ler'!$B$27-R164)</f>
        <v>2</v>
      </c>
      <c r="T164" s="13" t="n">
        <v>0</v>
      </c>
      <c r="U164" s="13"/>
      <c r="V164" s="13" t="s">
        <v>55</v>
      </c>
      <c r="W164" s="13" t="s">
        <v>714</v>
      </c>
      <c r="X164" s="26" t="s">
        <v>129</v>
      </c>
      <c r="Y164" s="13" t="n">
        <f aca="false">ROUND(IF(K164="",0,MIN(40,40*K164/1.5))+IF(S164="",0,IF(S164&lt;=7,20,IF(S164&lt;=30,12,IF(S164&lt;=90,5,0))))+IF(Q164="",0,MIN(15,Q164*5))+IF(O164="",0,MIN(15,O164*30))+IF(E164="Criador(a)",10,IF(E164="Especialista que cria conteúdo",6,4)),0)</f>
        <v>36</v>
      </c>
      <c r="Z164" s="13" t="s">
        <v>672</v>
      </c>
      <c r="AA164" s="13"/>
      <c r="AB164" s="13" t="s">
        <v>113</v>
      </c>
      <c r="AC164" s="13"/>
      <c r="AD164" s="13" t="s">
        <v>1033</v>
      </c>
      <c r="AE164" s="13" t="s">
        <v>1115</v>
      </c>
      <c r="AF164" s="13" t="s">
        <v>1116</v>
      </c>
      <c r="AG164" s="24" t="s">
        <v>1117</v>
      </c>
      <c r="AH164" s="13" t="s">
        <v>100</v>
      </c>
      <c r="AI164" s="13"/>
    </row>
    <row r="165" customFormat="false" ht="15" hidden="false" customHeight="false" outlineLevel="0" collapsed="false">
      <c r="A165" s="13" t="s">
        <v>38</v>
      </c>
      <c r="B165" s="13"/>
      <c r="C165" s="13" t="s">
        <v>1118</v>
      </c>
      <c r="D165" s="13" t="s">
        <v>1119</v>
      </c>
      <c r="E165" s="13" t="s">
        <v>157</v>
      </c>
      <c r="F165" s="13" t="s">
        <v>29</v>
      </c>
      <c r="G165" s="14" t="n">
        <v>7343</v>
      </c>
      <c r="H165" s="13" t="s">
        <v>19</v>
      </c>
      <c r="I165" s="15" t="n">
        <v>0.0005</v>
      </c>
      <c r="J165" s="16" t="n">
        <f aca="false">IFERROR(INDEX('Como ler'!$B$20:$B$24,MATCH(H165,'Como ler'!$A$20:$A$24,0)),"")</f>
        <v>0.025</v>
      </c>
      <c r="K165" s="17" t="n">
        <f aca="false">IF(OR(I165="",J165=""),"",I165/J165)</f>
        <v>0.02</v>
      </c>
      <c r="L165" s="14" t="n">
        <v>8</v>
      </c>
      <c r="M165" s="18" t="n">
        <v>1</v>
      </c>
      <c r="N165" s="14" t="n">
        <v>402</v>
      </c>
      <c r="O165" s="17" t="n">
        <f aca="false">IF(OR(N165="",G165=0),"",N165/G165)</f>
        <v>0.0547460166144628</v>
      </c>
      <c r="P165" s="19" t="n">
        <v>0.55</v>
      </c>
      <c r="Q165" s="20" t="n">
        <v>0.7</v>
      </c>
      <c r="R165" s="21" t="n">
        <v>46290</v>
      </c>
      <c r="S165" s="22" t="n">
        <f aca="false">IF(R165="","",'Como ler'!$B$27-R165)</f>
        <v>2</v>
      </c>
      <c r="T165" s="13" t="n">
        <v>0</v>
      </c>
      <c r="U165" s="13"/>
      <c r="V165" s="13" t="s">
        <v>52</v>
      </c>
      <c r="W165" s="13" t="s">
        <v>1120</v>
      </c>
      <c r="X165" s="23" t="s">
        <v>94</v>
      </c>
      <c r="Y165" s="13" t="n">
        <f aca="false">ROUND(IF(K165="",0,MIN(40,40*K165/1.5))+IF(S165="",0,IF(S165&lt;=7,20,IF(S165&lt;=30,12,IF(S165&lt;=90,5,0))))+IF(Q165="",0,MIN(15,Q165*5))+IF(O165="",0,MIN(15,O165*30))+IF(E165="Criador(a)",10,IF(E165="Especialista que cria conteúdo",6,4)),0)</f>
        <v>32</v>
      </c>
      <c r="Z165" s="13" t="s">
        <v>159</v>
      </c>
      <c r="AA165" s="13"/>
      <c r="AB165" s="13" t="s">
        <v>113</v>
      </c>
      <c r="AC165" s="13" t="s">
        <v>114</v>
      </c>
      <c r="AD165" s="13" t="s">
        <v>1033</v>
      </c>
      <c r="AE165" s="13"/>
      <c r="AF165" s="13" t="s">
        <v>1121</v>
      </c>
      <c r="AG165" s="24" t="s">
        <v>1122</v>
      </c>
      <c r="AH165" s="13" t="s">
        <v>100</v>
      </c>
      <c r="AI165" s="13"/>
    </row>
    <row r="166" customFormat="false" ht="15" hidden="false" customHeight="false" outlineLevel="0" collapsed="false">
      <c r="A166" s="13" t="s">
        <v>38</v>
      </c>
      <c r="B166" s="13" t="s">
        <v>36</v>
      </c>
      <c r="C166" s="13" t="s">
        <v>1123</v>
      </c>
      <c r="D166" s="13" t="s">
        <v>1124</v>
      </c>
      <c r="E166" s="13" t="s">
        <v>30</v>
      </c>
      <c r="F166" s="13" t="s">
        <v>28</v>
      </c>
      <c r="G166" s="14" t="n">
        <v>5497</v>
      </c>
      <c r="H166" s="13" t="s">
        <v>19</v>
      </c>
      <c r="I166" s="15" t="n">
        <v>0.0095</v>
      </c>
      <c r="J166" s="16" t="n">
        <f aca="false">IFERROR(INDEX('Como ler'!$B$20:$B$24,MATCH(H166,'Como ler'!$A$20:$A$24,0)),"")</f>
        <v>0.025</v>
      </c>
      <c r="K166" s="17" t="n">
        <f aca="false">IF(OR(I166="",J166=""),"",I166/J166)</f>
        <v>0.38</v>
      </c>
      <c r="L166" s="14" t="n">
        <v>48</v>
      </c>
      <c r="M166" s="18" t="n">
        <v>7.2</v>
      </c>
      <c r="N166" s="14" t="n">
        <v>231</v>
      </c>
      <c r="O166" s="17" t="n">
        <f aca="false">IF(OR(N166="",G166=0),"",N166/G166)</f>
        <v>0.0420229215935965</v>
      </c>
      <c r="P166" s="19" t="n">
        <v>0.56</v>
      </c>
      <c r="Q166" s="20" t="n">
        <v>0.2</v>
      </c>
      <c r="R166" s="21" t="n">
        <v>46224</v>
      </c>
      <c r="S166" s="22" t="n">
        <f aca="false">IF(R166="","",'Como ler'!$B$27-R166)</f>
        <v>68</v>
      </c>
      <c r="T166" s="13" t="n">
        <v>0</v>
      </c>
      <c r="U166" s="13"/>
      <c r="V166" s="13" t="s">
        <v>43</v>
      </c>
      <c r="W166" s="13" t="s">
        <v>1125</v>
      </c>
      <c r="X166" s="26" t="s">
        <v>129</v>
      </c>
      <c r="Y166" s="13" t="n">
        <f aca="false">ROUND(IF(K166="",0,MIN(40,40*K166/1.5))+IF(S166="",0,IF(S166&lt;=7,20,IF(S166&lt;=30,12,IF(S166&lt;=90,5,0))))+IF(Q166="",0,MIN(15,Q166*5))+IF(O166="",0,MIN(15,O166*30))+IF(E166="Criador(a)",10,IF(E166="Especialista que cria conteúdo",6,4)),0)</f>
        <v>27</v>
      </c>
      <c r="Z166" s="13" t="s">
        <v>303</v>
      </c>
      <c r="AA166" s="13"/>
      <c r="AB166" s="13"/>
      <c r="AC166" s="13"/>
      <c r="AD166" s="13" t="s">
        <v>1126</v>
      </c>
      <c r="AE166" s="13" t="s">
        <v>1127</v>
      </c>
      <c r="AF166" s="13" t="s">
        <v>1128</v>
      </c>
      <c r="AG166" s="24" t="s">
        <v>1129</v>
      </c>
      <c r="AH166" s="13" t="s">
        <v>100</v>
      </c>
      <c r="AI166" s="13"/>
    </row>
    <row r="167" customFormat="false" ht="15" hidden="false" customHeight="false" outlineLevel="0" collapsed="false">
      <c r="A167" s="13" t="s">
        <v>38</v>
      </c>
      <c r="B167" s="13"/>
      <c r="C167" s="13" t="s">
        <v>1130</v>
      </c>
      <c r="D167" s="13" t="s">
        <v>1131</v>
      </c>
      <c r="E167" s="13" t="s">
        <v>30</v>
      </c>
      <c r="F167" s="13" t="s">
        <v>28</v>
      </c>
      <c r="G167" s="14" t="n">
        <v>5324</v>
      </c>
      <c r="H167" s="13" t="s">
        <v>19</v>
      </c>
      <c r="I167" s="15" t="n">
        <v>0.0105</v>
      </c>
      <c r="J167" s="16" t="n">
        <f aca="false">IFERROR(INDEX('Como ler'!$B$20:$B$24,MATCH(H167,'Como ler'!$A$20:$A$24,0)),"")</f>
        <v>0.025</v>
      </c>
      <c r="K167" s="17" t="n">
        <f aca="false">IF(OR(I167="",J167=""),"",I167/J167)</f>
        <v>0.42</v>
      </c>
      <c r="L167" s="14" t="n">
        <v>87</v>
      </c>
      <c r="M167" s="18" t="n">
        <v>3.3</v>
      </c>
      <c r="N167" s="14" t="n">
        <v>936</v>
      </c>
      <c r="O167" s="17" t="n">
        <f aca="false">IF(OR(N167="",G167=0),"",N167/G167)</f>
        <v>0.175807663410969</v>
      </c>
      <c r="P167" s="19" t="n">
        <v>0.56</v>
      </c>
      <c r="Q167" s="20" t="n">
        <v>9.3</v>
      </c>
      <c r="R167" s="21" t="n">
        <v>46284</v>
      </c>
      <c r="S167" s="22" t="n">
        <f aca="false">IF(R167="","",'Como ler'!$B$27-R167)</f>
        <v>8</v>
      </c>
      <c r="T167" s="13" t="n">
        <v>0</v>
      </c>
      <c r="U167" s="13"/>
      <c r="V167" s="13" t="s">
        <v>48</v>
      </c>
      <c r="W167" s="13" t="s">
        <v>1132</v>
      </c>
      <c r="X167" s="26" t="s">
        <v>129</v>
      </c>
      <c r="Y167" s="13" t="n">
        <f aca="false">ROUND(IF(K167="",0,MIN(40,40*K167/1.5))+IF(S167="",0,IF(S167&lt;=7,20,IF(S167&lt;=30,12,IF(S167&lt;=90,5,0))))+IF(Q167="",0,MIN(15,Q167*5))+IF(O167="",0,MIN(15,O167*30))+IF(E167="Criador(a)",10,IF(E167="Especialista que cria conteúdo",6,4)),0)</f>
        <v>53</v>
      </c>
      <c r="Z167" s="13" t="s">
        <v>105</v>
      </c>
      <c r="AA167" s="13"/>
      <c r="AB167" s="13" t="s">
        <v>113</v>
      </c>
      <c r="AC167" s="13" t="s">
        <v>130</v>
      </c>
      <c r="AD167" s="13" t="s">
        <v>1033</v>
      </c>
      <c r="AE167" s="13" t="s">
        <v>1133</v>
      </c>
      <c r="AF167" s="13" t="s">
        <v>1134</v>
      </c>
      <c r="AG167" s="24" t="s">
        <v>1135</v>
      </c>
      <c r="AH167" s="13" t="s">
        <v>100</v>
      </c>
      <c r="AI167" s="13"/>
    </row>
    <row r="168" customFormat="false" ht="15" hidden="false" customHeight="false" outlineLevel="0" collapsed="false">
      <c r="A168" s="13" t="s">
        <v>38</v>
      </c>
      <c r="B168" s="13" t="s">
        <v>1037</v>
      </c>
      <c r="C168" s="13" t="s">
        <v>1136</v>
      </c>
      <c r="D168" s="13" t="s">
        <v>1137</v>
      </c>
      <c r="E168" s="13" t="s">
        <v>30</v>
      </c>
      <c r="F168" s="13" t="s">
        <v>29</v>
      </c>
      <c r="G168" s="14" t="n">
        <v>4945</v>
      </c>
      <c r="H168" s="13" t="s">
        <v>19</v>
      </c>
      <c r="I168" s="15" t="n">
        <v>0.0152</v>
      </c>
      <c r="J168" s="16" t="n">
        <f aca="false">IFERROR(INDEX('Como ler'!$B$20:$B$24,MATCH(H168,'Como ler'!$A$20:$A$24,0)),"")</f>
        <v>0.025</v>
      </c>
      <c r="K168" s="17" t="n">
        <f aca="false">IF(OR(I168="",J168=""),"",I168/J168)</f>
        <v>0.608</v>
      </c>
      <c r="L168" s="14" t="n">
        <v>59</v>
      </c>
      <c r="M168" s="18" t="n">
        <v>15.8</v>
      </c>
      <c r="N168" s="14" t="n">
        <v>394</v>
      </c>
      <c r="O168" s="17" t="n">
        <f aca="false">IF(OR(N168="",G168=0),"",N168/G168)</f>
        <v>0.0796764408493428</v>
      </c>
      <c r="P168" s="19" t="n">
        <v>0.22</v>
      </c>
      <c r="Q168" s="20" t="n">
        <v>0.8</v>
      </c>
      <c r="R168" s="21" t="n">
        <v>46292</v>
      </c>
      <c r="S168" s="22" t="n">
        <f aca="false">IF(R168="","",'Como ler'!$B$27-R168)</f>
        <v>0</v>
      </c>
      <c r="T168" s="13" t="n">
        <v>0</v>
      </c>
      <c r="U168" s="13"/>
      <c r="V168" s="13" t="s">
        <v>45</v>
      </c>
      <c r="W168" s="13" t="s">
        <v>45</v>
      </c>
      <c r="X168" s="25" t="s">
        <v>104</v>
      </c>
      <c r="Y168" s="13" t="n">
        <f aca="false">ROUND(IF(K168="",0,MIN(40,40*K168/1.5))+IF(S168="",0,IF(S168&lt;=7,20,IF(S168&lt;=30,12,IF(S168&lt;=90,5,0))))+IF(Q168="",0,MIN(15,Q168*5))+IF(O168="",0,MIN(15,O168*30))+IF(E168="Criador(a)",10,IF(E168="Especialista que cria conteúdo",6,4)),0)</f>
        <v>53</v>
      </c>
      <c r="Z168" s="13" t="s">
        <v>355</v>
      </c>
      <c r="AA168" s="13" t="s">
        <v>113</v>
      </c>
      <c r="AB168" s="13"/>
      <c r="AC168" s="13"/>
      <c r="AD168" s="13" t="s">
        <v>1138</v>
      </c>
      <c r="AE168" s="13" t="s">
        <v>1139</v>
      </c>
      <c r="AF168" s="13" t="s">
        <v>1140</v>
      </c>
      <c r="AG168" s="24" t="s">
        <v>1141</v>
      </c>
      <c r="AH168" s="13" t="s">
        <v>100</v>
      </c>
      <c r="AI168" s="13"/>
    </row>
    <row r="169" customFormat="false" ht="15" hidden="false" customHeight="false" outlineLevel="0" collapsed="false">
      <c r="A169" s="13" t="s">
        <v>38</v>
      </c>
      <c r="B169" s="13"/>
      <c r="C169" s="13" t="s">
        <v>1142</v>
      </c>
      <c r="D169" s="13" t="s">
        <v>1143</v>
      </c>
      <c r="E169" s="13" t="s">
        <v>157</v>
      </c>
      <c r="F169" s="13" t="s">
        <v>28</v>
      </c>
      <c r="G169" s="14" t="n">
        <v>3032</v>
      </c>
      <c r="H169" s="13" t="s">
        <v>19</v>
      </c>
      <c r="I169" s="15" t="n">
        <v>0.0396</v>
      </c>
      <c r="J169" s="16" t="n">
        <f aca="false">IFERROR(INDEX('Como ler'!$B$20:$B$24,MATCH(H169,'Como ler'!$A$20:$A$24,0)),"")</f>
        <v>0.025</v>
      </c>
      <c r="K169" s="17" t="n">
        <f aca="false">IF(OR(I169="",J169=""),"",I169/J169)</f>
        <v>1.584</v>
      </c>
      <c r="L169" s="14" t="n">
        <v>116</v>
      </c>
      <c r="M169" s="18" t="n">
        <v>13.1</v>
      </c>
      <c r="N169" s="14" t="n">
        <v>309</v>
      </c>
      <c r="O169" s="17" t="n">
        <f aca="false">IF(OR(N169="",G169=0),"",N169/G169)</f>
        <v>0.101912928759894</v>
      </c>
      <c r="P169" s="19" t="n">
        <v>0.22</v>
      </c>
      <c r="Q169" s="20" t="n">
        <v>0.2</v>
      </c>
      <c r="R169" s="21" t="n">
        <v>46251</v>
      </c>
      <c r="S169" s="22" t="n">
        <f aca="false">IF(R169="","",'Como ler'!$B$27-R169)</f>
        <v>41</v>
      </c>
      <c r="T169" s="13" t="n">
        <v>0</v>
      </c>
      <c r="U169" s="13"/>
      <c r="V169" s="13" t="s">
        <v>45</v>
      </c>
      <c r="W169" s="13" t="s">
        <v>45</v>
      </c>
      <c r="X169" s="25" t="s">
        <v>104</v>
      </c>
      <c r="Y169" s="13" t="n">
        <f aca="false">ROUND(IF(K169="",0,MIN(40,40*K169/1.5))+IF(S169="",0,IF(S169&lt;=7,20,IF(S169&lt;=30,12,IF(S169&lt;=90,5,0))))+IF(Q169="",0,MIN(15,Q169*5))+IF(O169="",0,MIN(15,O169*30))+IF(E169="Criador(a)",10,IF(E169="Especialista que cria conteúdo",6,4)),0)</f>
        <v>55</v>
      </c>
      <c r="Z169" s="13"/>
      <c r="AA169" s="13"/>
      <c r="AB169" s="13" t="s">
        <v>113</v>
      </c>
      <c r="AC169" s="13"/>
      <c r="AD169" s="13" t="s">
        <v>1144</v>
      </c>
      <c r="AE169" s="13" t="s">
        <v>1145</v>
      </c>
      <c r="AF169" s="13" t="s">
        <v>1146</v>
      </c>
      <c r="AG169" s="24" t="s">
        <v>1147</v>
      </c>
      <c r="AH169" s="13" t="s">
        <v>100</v>
      </c>
      <c r="AI169" s="13"/>
    </row>
    <row r="170" customFormat="false" ht="15" hidden="false" customHeight="false" outlineLevel="0" collapsed="false">
      <c r="A170" s="13" t="s">
        <v>38</v>
      </c>
      <c r="B170" s="13"/>
      <c r="C170" s="13" t="s">
        <v>1148</v>
      </c>
      <c r="D170" s="13" t="s">
        <v>1149</v>
      </c>
      <c r="E170" s="13" t="s">
        <v>200</v>
      </c>
      <c r="F170" s="13" t="s">
        <v>201</v>
      </c>
      <c r="G170" s="14" t="n">
        <v>3021</v>
      </c>
      <c r="H170" s="13" t="s">
        <v>19</v>
      </c>
      <c r="I170" s="15" t="n">
        <v>0.0036</v>
      </c>
      <c r="J170" s="16" t="n">
        <f aca="false">IFERROR(INDEX('Como ler'!$B$20:$B$24,MATCH(H170,'Como ler'!$A$20:$A$24,0)),"")</f>
        <v>0.025</v>
      </c>
      <c r="K170" s="17" t="n">
        <f aca="false">IF(OR(I170="",J170=""),"",I170/J170)</f>
        <v>0.144</v>
      </c>
      <c r="L170" s="14" t="n">
        <v>12</v>
      </c>
      <c r="M170" s="18" t="n">
        <v>0.1</v>
      </c>
      <c r="N170" s="14" t="n">
        <v>55</v>
      </c>
      <c r="O170" s="17" t="n">
        <f aca="false">IF(OR(N170="",G170=0),"",N170/G170)</f>
        <v>0.0182058920887123</v>
      </c>
      <c r="P170" s="19" t="n">
        <v>0.42</v>
      </c>
      <c r="Q170" s="20" t="n">
        <v>1.4</v>
      </c>
      <c r="R170" s="21" t="n">
        <v>46143</v>
      </c>
      <c r="S170" s="22" t="n">
        <f aca="false">IF(R170="","",'Como ler'!$B$27-R170)</f>
        <v>149</v>
      </c>
      <c r="T170" s="13" t="n">
        <v>0</v>
      </c>
      <c r="U170" s="13"/>
      <c r="V170" s="13" t="s">
        <v>57</v>
      </c>
      <c r="W170" s="13" t="s">
        <v>57</v>
      </c>
      <c r="X170" s="25" t="s">
        <v>104</v>
      </c>
      <c r="Y170" s="13" t="n">
        <f aca="false">ROUND(IF(K170="",0,MIN(40,40*K170/1.5))+IF(S170="",0,IF(S170&lt;=7,20,IF(S170&lt;=30,12,IF(S170&lt;=90,5,0))))+IF(Q170="",0,MIN(15,Q170*5))+IF(O170="",0,MIN(15,O170*30))+IF(E170="Criador(a)",10,IF(E170="Especialista que cria conteúdo",6,4)),0)</f>
        <v>15</v>
      </c>
      <c r="Z170" s="13" t="s">
        <v>159</v>
      </c>
      <c r="AA170" s="13"/>
      <c r="AB170" s="13"/>
      <c r="AC170" s="13"/>
      <c r="AD170" s="13" t="s">
        <v>1066</v>
      </c>
      <c r="AE170" s="13" t="s">
        <v>1150</v>
      </c>
      <c r="AF170" s="13" t="s">
        <v>1151</v>
      </c>
      <c r="AG170" s="24" t="s">
        <v>1152</v>
      </c>
      <c r="AH170" s="13" t="s">
        <v>100</v>
      </c>
      <c r="AI170" s="13"/>
    </row>
    <row r="171" customFormat="false" ht="15" hidden="false" customHeight="false" outlineLevel="0" collapsed="false">
      <c r="A171" s="13" t="s">
        <v>38</v>
      </c>
      <c r="B171" s="13"/>
      <c r="C171" s="13" t="s">
        <v>1153</v>
      </c>
      <c r="D171" s="13" t="s">
        <v>1154</v>
      </c>
      <c r="E171" s="13" t="s">
        <v>157</v>
      </c>
      <c r="F171" s="13" t="s">
        <v>28</v>
      </c>
      <c r="G171" s="14" t="n">
        <v>2888</v>
      </c>
      <c r="H171" s="13" t="s">
        <v>18</v>
      </c>
      <c r="I171" s="15" t="n">
        <v>0.0045</v>
      </c>
      <c r="J171" s="16" t="n">
        <f aca="false">IFERROR(INDEX('Como ler'!$B$20:$B$24,MATCH(H171,'Como ler'!$A$20:$A$24,0)),"")</f>
        <v>0.04</v>
      </c>
      <c r="K171" s="17" t="n">
        <f aca="false">IF(OR(I171="",J171=""),"",I171/J171)</f>
        <v>0.1125</v>
      </c>
      <c r="L171" s="14" t="n">
        <v>22</v>
      </c>
      <c r="M171" s="18" t="n">
        <v>1</v>
      </c>
      <c r="N171" s="14" t="n">
        <v>214</v>
      </c>
      <c r="O171" s="17" t="n">
        <f aca="false">IF(OR(N171="",G171=0),"",N171/G171)</f>
        <v>0.0740997229916898</v>
      </c>
      <c r="P171" s="19" t="n">
        <v>1</v>
      </c>
      <c r="Q171" s="20" t="n">
        <v>8.8</v>
      </c>
      <c r="R171" s="21" t="n">
        <v>46292</v>
      </c>
      <c r="S171" s="22" t="n">
        <f aca="false">IF(R171="","",'Como ler'!$B$27-R171)</f>
        <v>0</v>
      </c>
      <c r="T171" s="13" t="n">
        <v>0</v>
      </c>
      <c r="U171" s="13"/>
      <c r="V171" s="13" t="s">
        <v>55</v>
      </c>
      <c r="W171" s="13" t="s">
        <v>55</v>
      </c>
      <c r="X171" s="26" t="s">
        <v>129</v>
      </c>
      <c r="Y171" s="13" t="n">
        <f aca="false">ROUND(IF(K171="",0,MIN(40,40*K171/1.5))+IF(S171="",0,IF(S171&lt;=7,20,IF(S171&lt;=30,12,IF(S171&lt;=90,5,0))))+IF(Q171="",0,MIN(15,Q171*5))+IF(O171="",0,MIN(15,O171*30))+IF(E171="Criador(a)",10,IF(E171="Especialista que cria conteúdo",6,4)),0)</f>
        <v>46</v>
      </c>
      <c r="Z171" s="13"/>
      <c r="AA171" s="13"/>
      <c r="AB171" s="13" t="s">
        <v>113</v>
      </c>
      <c r="AC171" s="13"/>
      <c r="AD171" s="13" t="s">
        <v>1155</v>
      </c>
      <c r="AE171" s="13" t="s">
        <v>1156</v>
      </c>
      <c r="AF171" s="13" t="s">
        <v>1157</v>
      </c>
      <c r="AG171" s="24" t="s">
        <v>1158</v>
      </c>
      <c r="AH171" s="13" t="s">
        <v>100</v>
      </c>
      <c r="AI171" s="13"/>
    </row>
    <row r="172" customFormat="false" ht="15" hidden="false" customHeight="false" outlineLevel="0" collapsed="false">
      <c r="A172" s="13" t="s">
        <v>38</v>
      </c>
      <c r="B172" s="13" t="s">
        <v>36</v>
      </c>
      <c r="C172" s="13" t="s">
        <v>1159</v>
      </c>
      <c r="D172" s="13" t="s">
        <v>1160</v>
      </c>
      <c r="E172" s="13" t="s">
        <v>30</v>
      </c>
      <c r="F172" s="13" t="s">
        <v>29</v>
      </c>
      <c r="G172" s="14" t="n">
        <v>2886</v>
      </c>
      <c r="H172" s="13" t="s">
        <v>18</v>
      </c>
      <c r="I172" s="15" t="n">
        <v>0.0073</v>
      </c>
      <c r="J172" s="16" t="n">
        <f aca="false">IFERROR(INDEX('Como ler'!$B$20:$B$24,MATCH(H172,'Como ler'!$A$20:$A$24,0)),"")</f>
        <v>0.04</v>
      </c>
      <c r="K172" s="17" t="n">
        <f aca="false">IF(OR(I172="",J172=""),"",I172/J172)</f>
        <v>0.1825</v>
      </c>
      <c r="L172" s="14" t="n">
        <v>24</v>
      </c>
      <c r="M172" s="18" t="n">
        <v>2.9</v>
      </c>
      <c r="N172" s="14" t="n">
        <v>222</v>
      </c>
      <c r="O172" s="17" t="n">
        <f aca="false">IF(OR(N172="",G172=0),"",N172/G172)</f>
        <v>0.0769230769230769</v>
      </c>
      <c r="P172" s="19" t="n">
        <v>1</v>
      </c>
      <c r="Q172" s="20" t="n">
        <v>14</v>
      </c>
      <c r="R172" s="21" t="n">
        <v>46292</v>
      </c>
      <c r="S172" s="22" t="n">
        <f aca="false">IF(R172="","",'Como ler'!$B$27-R172)</f>
        <v>0</v>
      </c>
      <c r="T172" s="13" t="n">
        <v>0</v>
      </c>
      <c r="U172" s="13"/>
      <c r="V172" s="13" t="s">
        <v>47</v>
      </c>
      <c r="W172" s="13" t="s">
        <v>1161</v>
      </c>
      <c r="X172" s="26" t="s">
        <v>129</v>
      </c>
      <c r="Y172" s="13" t="n">
        <f aca="false">ROUND(IF(K172="",0,MIN(40,40*K172/1.5))+IF(S172="",0,IF(S172&lt;=7,20,IF(S172&lt;=30,12,IF(S172&lt;=90,5,0))))+IF(Q172="",0,MIN(15,Q172*5))+IF(O172="",0,MIN(15,O172*30))+IF(E172="Criador(a)",10,IF(E172="Especialista que cria conteúdo",6,4)),0)</f>
        <v>52</v>
      </c>
      <c r="Z172" s="13" t="s">
        <v>289</v>
      </c>
      <c r="AA172" s="13" t="s">
        <v>113</v>
      </c>
      <c r="AB172" s="13"/>
      <c r="AC172" s="13"/>
      <c r="AD172" s="13" t="s">
        <v>1162</v>
      </c>
      <c r="AE172" s="13" t="s">
        <v>1163</v>
      </c>
      <c r="AF172" s="13" t="s">
        <v>1164</v>
      </c>
      <c r="AG172" s="24" t="s">
        <v>1165</v>
      </c>
      <c r="AH172" s="13" t="s">
        <v>100</v>
      </c>
      <c r="AI172" s="13"/>
    </row>
    <row r="173" customFormat="false" ht="15" hidden="false" customHeight="false" outlineLevel="0" collapsed="false">
      <c r="A173" s="13" t="s">
        <v>38</v>
      </c>
      <c r="B173" s="13"/>
      <c r="C173" s="13" t="s">
        <v>1166</v>
      </c>
      <c r="D173" s="13" t="s">
        <v>1167</v>
      </c>
      <c r="E173" s="13" t="s">
        <v>30</v>
      </c>
      <c r="F173" s="13" t="s">
        <v>28</v>
      </c>
      <c r="G173" s="14" t="n">
        <v>2872</v>
      </c>
      <c r="H173" s="13" t="s">
        <v>18</v>
      </c>
      <c r="I173" s="15" t="n">
        <v>0.0554</v>
      </c>
      <c r="J173" s="16" t="n">
        <f aca="false">IFERROR(INDEX('Como ler'!$B$20:$B$24,MATCH(H173,'Como ler'!$A$20:$A$24,0)),"")</f>
        <v>0.04</v>
      </c>
      <c r="K173" s="17" t="n">
        <f aca="false">IF(OR(I173="",J173=""),"",I173/J173)</f>
        <v>1.385</v>
      </c>
      <c r="L173" s="14" t="n">
        <v>196</v>
      </c>
      <c r="M173" s="18" t="n">
        <v>10.7</v>
      </c>
      <c r="N173" s="14" t="n">
        <v>1310</v>
      </c>
      <c r="O173" s="17" t="n">
        <f aca="false">IF(OR(N173="",G173=0),"",N173/G173)</f>
        <v>0.456128133704735</v>
      </c>
      <c r="P173" s="19" t="n">
        <v>0.67</v>
      </c>
      <c r="Q173" s="20" t="n">
        <v>0.7</v>
      </c>
      <c r="R173" s="21" t="n">
        <v>46285</v>
      </c>
      <c r="S173" s="22" t="n">
        <f aca="false">IF(R173="","",'Como ler'!$B$27-R173)</f>
        <v>7</v>
      </c>
      <c r="T173" s="13" t="n">
        <v>0</v>
      </c>
      <c r="U173" s="13"/>
      <c r="V173" s="13" t="s">
        <v>53</v>
      </c>
      <c r="W173" s="13" t="s">
        <v>1168</v>
      </c>
      <c r="X173" s="26" t="s">
        <v>129</v>
      </c>
      <c r="Y173" s="13" t="n">
        <f aca="false">ROUND(IF(K173="",0,MIN(40,40*K173/1.5))+IF(S173="",0,IF(S173&lt;=7,20,IF(S173&lt;=30,12,IF(S173&lt;=90,5,0))))+IF(Q173="",0,MIN(15,Q173*5))+IF(O173="",0,MIN(15,O173*30))+IF(E173="Criador(a)",10,IF(E173="Especialista que cria conteúdo",6,4)),0)</f>
        <v>84</v>
      </c>
      <c r="Z173" s="13"/>
      <c r="AA173" s="13"/>
      <c r="AB173" s="13"/>
      <c r="AC173" s="13"/>
      <c r="AD173" s="13" t="s">
        <v>1144</v>
      </c>
      <c r="AE173" s="13" t="s">
        <v>1169</v>
      </c>
      <c r="AF173" s="13"/>
      <c r="AG173" s="24" t="s">
        <v>1170</v>
      </c>
      <c r="AH173" s="13" t="s">
        <v>100</v>
      </c>
      <c r="AI173" s="13"/>
    </row>
    <row r="174" customFormat="false" ht="15" hidden="false" customHeight="false" outlineLevel="0" collapsed="false">
      <c r="A174" s="13" t="s">
        <v>38</v>
      </c>
      <c r="B174" s="13"/>
      <c r="C174" s="13" t="s">
        <v>1171</v>
      </c>
      <c r="D174" s="13" t="s">
        <v>1172</v>
      </c>
      <c r="E174" s="13" t="s">
        <v>30</v>
      </c>
      <c r="F174" s="13" t="s">
        <v>29</v>
      </c>
      <c r="G174" s="14" t="n">
        <v>2861</v>
      </c>
      <c r="H174" s="13" t="s">
        <v>18</v>
      </c>
      <c r="I174" s="15" t="n">
        <v>0.008</v>
      </c>
      <c r="J174" s="16" t="n">
        <f aca="false">IFERROR(INDEX('Como ler'!$B$20:$B$24,MATCH(H174,'Como ler'!$A$20:$A$24,0)),"")</f>
        <v>0.04</v>
      </c>
      <c r="K174" s="17" t="n">
        <f aca="false">IF(OR(I174="",J174=""),"",I174/J174)</f>
        <v>0.2</v>
      </c>
      <c r="L174" s="14" t="n">
        <v>64</v>
      </c>
      <c r="M174" s="18" t="n">
        <v>5.6</v>
      </c>
      <c r="N174" s="14" t="n">
        <v>76</v>
      </c>
      <c r="O174" s="17" t="n">
        <f aca="false">IF(OR(N174="",G174=0),"",N174/G174)</f>
        <v>0.0265641384131423</v>
      </c>
      <c r="P174" s="19" t="n">
        <v>0.44</v>
      </c>
      <c r="Q174" s="20" t="n">
        <v>0.9</v>
      </c>
      <c r="R174" s="21" t="n">
        <v>46264</v>
      </c>
      <c r="S174" s="22" t="n">
        <f aca="false">IF(R174="","",'Como ler'!$B$27-R174)</f>
        <v>28</v>
      </c>
      <c r="T174" s="13" t="n">
        <v>0</v>
      </c>
      <c r="U174" s="13"/>
      <c r="V174" s="13" t="s">
        <v>48</v>
      </c>
      <c r="W174" s="13" t="s">
        <v>1173</v>
      </c>
      <c r="X174" s="26" t="s">
        <v>129</v>
      </c>
      <c r="Y174" s="13" t="n">
        <f aca="false">ROUND(IF(K174="",0,MIN(40,40*K174/1.5))+IF(S174="",0,IF(S174&lt;=7,20,IF(S174&lt;=30,12,IF(S174&lt;=90,5,0))))+IF(Q174="",0,MIN(15,Q174*5))+IF(O174="",0,MIN(15,O174*30))+IF(E174="Criador(a)",10,IF(E174="Especialista que cria conteúdo",6,4)),0)</f>
        <v>33</v>
      </c>
      <c r="Z174" s="13" t="s">
        <v>1174</v>
      </c>
      <c r="AA174" s="13"/>
      <c r="AB174" s="13" t="s">
        <v>113</v>
      </c>
      <c r="AC174" s="13"/>
      <c r="AD174" s="13" t="s">
        <v>1109</v>
      </c>
      <c r="AE174" s="13" t="s">
        <v>1175</v>
      </c>
      <c r="AF174" s="13" t="s">
        <v>1176</v>
      </c>
      <c r="AG174" s="24" t="s">
        <v>1177</v>
      </c>
      <c r="AH174" s="13" t="s">
        <v>100</v>
      </c>
      <c r="AI174" s="13"/>
    </row>
    <row r="175" customFormat="false" ht="15" hidden="false" customHeight="false" outlineLevel="0" collapsed="false">
      <c r="A175" s="13" t="s">
        <v>38</v>
      </c>
      <c r="B175" s="13" t="s">
        <v>37</v>
      </c>
      <c r="C175" s="13" t="s">
        <v>1178</v>
      </c>
      <c r="D175" s="13" t="s">
        <v>1179</v>
      </c>
      <c r="E175" s="13" t="s">
        <v>30</v>
      </c>
      <c r="F175" s="13" t="s">
        <v>29</v>
      </c>
      <c r="G175" s="14" t="n">
        <v>2646</v>
      </c>
      <c r="H175" s="13" t="s">
        <v>18</v>
      </c>
      <c r="I175" s="15" t="n">
        <v>0.0008</v>
      </c>
      <c r="J175" s="16" t="n">
        <f aca="false">IFERROR(INDEX('Como ler'!$B$20:$B$24,MATCH(H175,'Como ler'!$A$20:$A$24,0)),"")</f>
        <v>0.04</v>
      </c>
      <c r="K175" s="17" t="n">
        <f aca="false">IF(OR(I175="",J175=""),"",I175/J175)</f>
        <v>0.02</v>
      </c>
      <c r="L175" s="14" t="n">
        <v>3</v>
      </c>
      <c r="M175" s="18" t="n">
        <v>0</v>
      </c>
      <c r="N175" s="14"/>
      <c r="O175" s="17" t="str">
        <f aca="false">IF(OR(N175="",G175=0),"",N175/G175)</f>
        <v/>
      </c>
      <c r="P175" s="19" t="n">
        <v>0</v>
      </c>
      <c r="Q175" s="20" t="n">
        <v>5.1</v>
      </c>
      <c r="R175" s="21" t="n">
        <v>46292</v>
      </c>
      <c r="S175" s="22" t="n">
        <f aca="false">IF(R175="","",'Como ler'!$B$27-R175)</f>
        <v>0</v>
      </c>
      <c r="T175" s="13" t="n">
        <v>0</v>
      </c>
      <c r="U175" s="13"/>
      <c r="V175" s="13" t="s">
        <v>48</v>
      </c>
      <c r="W175" s="13" t="s">
        <v>48</v>
      </c>
      <c r="X175" s="25" t="s">
        <v>104</v>
      </c>
      <c r="Y175" s="13" t="n">
        <f aca="false">ROUND(IF(K175="",0,MIN(40,40*K175/1.5))+IF(S175="",0,IF(S175&lt;=7,20,IF(S175&lt;=30,12,IF(S175&lt;=90,5,0))))+IF(Q175="",0,MIN(15,Q175*5))+IF(O175="",0,MIN(15,O175*30))+IF(E175="Criador(a)",10,IF(E175="Especialista que cria conteúdo",6,4)),0)</f>
        <v>46</v>
      </c>
      <c r="Z175" s="13" t="s">
        <v>672</v>
      </c>
      <c r="AA175" s="13"/>
      <c r="AB175" s="13" t="s">
        <v>113</v>
      </c>
      <c r="AC175" s="13"/>
      <c r="AD175" s="13" t="s">
        <v>1180</v>
      </c>
      <c r="AE175" s="13" t="s">
        <v>1181</v>
      </c>
      <c r="AF175" s="13" t="s">
        <v>1182</v>
      </c>
      <c r="AG175" s="24" t="s">
        <v>1183</v>
      </c>
      <c r="AH175" s="13" t="s">
        <v>100</v>
      </c>
      <c r="AI175" s="13"/>
    </row>
    <row r="176" customFormat="false" ht="15" hidden="false" customHeight="false" outlineLevel="0" collapsed="false">
      <c r="A176" s="13" t="s">
        <v>38</v>
      </c>
      <c r="B176" s="13"/>
      <c r="C176" s="13" t="s">
        <v>1184</v>
      </c>
      <c r="D176" s="13" t="s">
        <v>1185</v>
      </c>
      <c r="E176" s="13" t="s">
        <v>30</v>
      </c>
      <c r="F176" s="13" t="s">
        <v>28</v>
      </c>
      <c r="G176" s="14" t="n">
        <v>2568</v>
      </c>
      <c r="H176" s="13" t="s">
        <v>18</v>
      </c>
      <c r="I176" s="15" t="n">
        <v>0.0035</v>
      </c>
      <c r="J176" s="16" t="n">
        <f aca="false">IFERROR(INDEX('Como ler'!$B$20:$B$24,MATCH(H176,'Como ler'!$A$20:$A$24,0)),"")</f>
        <v>0.04</v>
      </c>
      <c r="K176" s="17" t="n">
        <f aca="false">IF(OR(I176="",J176=""),"",I176/J176)</f>
        <v>0.0875</v>
      </c>
      <c r="L176" s="14" t="n">
        <v>11</v>
      </c>
      <c r="M176" s="18" t="n">
        <v>0.9</v>
      </c>
      <c r="N176" s="14" t="n">
        <v>86</v>
      </c>
      <c r="O176" s="17" t="n">
        <f aca="false">IF(OR(N176="",G176=0),"",N176/G176)</f>
        <v>0.0334890965732087</v>
      </c>
      <c r="P176" s="19" t="n">
        <v>0.25</v>
      </c>
      <c r="Q176" s="20" t="n">
        <v>2.1</v>
      </c>
      <c r="R176" s="21" t="n">
        <v>46286</v>
      </c>
      <c r="S176" s="22" t="n">
        <f aca="false">IF(R176="","",'Como ler'!$B$27-R176)</f>
        <v>6</v>
      </c>
      <c r="T176" s="13" t="n">
        <v>0</v>
      </c>
      <c r="U176" s="13"/>
      <c r="V176" s="13" t="s">
        <v>52</v>
      </c>
      <c r="W176" s="13" t="s">
        <v>988</v>
      </c>
      <c r="X176" s="23" t="s">
        <v>94</v>
      </c>
      <c r="Y176" s="13" t="n">
        <f aca="false">ROUND(IF(K176="",0,MIN(40,40*K176/1.5))+IF(S176="",0,IF(S176&lt;=7,20,IF(S176&lt;=30,12,IF(S176&lt;=90,5,0))))+IF(Q176="",0,MIN(15,Q176*5))+IF(O176="",0,MIN(15,O176*30))+IF(E176="Criador(a)",10,IF(E176="Especialista que cria conteúdo",6,4)),0)</f>
        <v>44</v>
      </c>
      <c r="Z176" s="13"/>
      <c r="AA176" s="13"/>
      <c r="AB176" s="13"/>
      <c r="AC176" s="13"/>
      <c r="AD176" s="13" t="s">
        <v>1186</v>
      </c>
      <c r="AE176" s="13" t="s">
        <v>1187</v>
      </c>
      <c r="AF176" s="13" t="s">
        <v>1188</v>
      </c>
      <c r="AG176" s="24" t="s">
        <v>1189</v>
      </c>
      <c r="AH176" s="13" t="s">
        <v>100</v>
      </c>
      <c r="AI176" s="13"/>
    </row>
    <row r="177" customFormat="false" ht="15" hidden="false" customHeight="false" outlineLevel="0" collapsed="false">
      <c r="A177" s="13" t="s">
        <v>38</v>
      </c>
      <c r="B177" s="13"/>
      <c r="C177" s="13" t="s">
        <v>1190</v>
      </c>
      <c r="D177" s="13" t="s">
        <v>1191</v>
      </c>
      <c r="E177" s="13" t="s">
        <v>157</v>
      </c>
      <c r="F177" s="13" t="s">
        <v>28</v>
      </c>
      <c r="G177" s="14" t="n">
        <v>2362</v>
      </c>
      <c r="H177" s="13" t="s">
        <v>18</v>
      </c>
      <c r="I177" s="15"/>
      <c r="J177" s="16" t="n">
        <f aca="false">IFERROR(INDEX('Como ler'!$B$20:$B$24,MATCH(H177,'Como ler'!$A$20:$A$24,0)),"")</f>
        <v>0.04</v>
      </c>
      <c r="K177" s="17" t="str">
        <f aca="false">IF(OR(I177="",J177=""),"",I177/J177)</f>
        <v/>
      </c>
      <c r="L177" s="14"/>
      <c r="M177" s="18"/>
      <c r="N177" s="14"/>
      <c r="O177" s="17" t="str">
        <f aca="false">IF(OR(N177="",G177=0),"",N177/G177)</f>
        <v/>
      </c>
      <c r="P177" s="19"/>
      <c r="Q177" s="20"/>
      <c r="R177" s="21"/>
      <c r="S177" s="22" t="str">
        <f aca="false">IF(R177="","",'Como ler'!$B$27-R177)</f>
        <v/>
      </c>
      <c r="T177" s="13" t="n">
        <v>0</v>
      </c>
      <c r="U177" s="13"/>
      <c r="V177" s="13" t="s">
        <v>56</v>
      </c>
      <c r="W177" s="13" t="s">
        <v>56</v>
      </c>
      <c r="X177" s="23" t="s">
        <v>94</v>
      </c>
      <c r="Y177" s="13" t="n">
        <f aca="false">ROUND(IF(K177="",0,MIN(40,40*K177/1.5))+IF(S177="",0,IF(S177&lt;=7,20,IF(S177&lt;=30,12,IF(S177&lt;=90,5,0))))+IF(Q177="",0,MIN(15,Q177*5))+IF(O177="",0,MIN(15,O177*30))+IF(E177="Criador(a)",10,IF(E177="Especialista que cria conteúdo",6,4)),0)</f>
        <v>6</v>
      </c>
      <c r="Z177" s="13"/>
      <c r="AA177" s="13"/>
      <c r="AB177" s="13"/>
      <c r="AC177" s="13"/>
      <c r="AD177" s="13" t="s">
        <v>1033</v>
      </c>
      <c r="AE177" s="13"/>
      <c r="AF177" s="13" t="s">
        <v>1192</v>
      </c>
      <c r="AG177" s="24" t="s">
        <v>1193</v>
      </c>
      <c r="AH177" s="13" t="s">
        <v>100</v>
      </c>
      <c r="AI177" s="13"/>
    </row>
    <row r="178" customFormat="false" ht="15" hidden="false" customHeight="false" outlineLevel="0" collapsed="false">
      <c r="A178" s="13" t="s">
        <v>38</v>
      </c>
      <c r="B178" s="13"/>
      <c r="C178" s="13" t="s">
        <v>1194</v>
      </c>
      <c r="D178" s="13" t="s">
        <v>1195</v>
      </c>
      <c r="E178" s="13" t="s">
        <v>157</v>
      </c>
      <c r="F178" s="13" t="s">
        <v>28</v>
      </c>
      <c r="G178" s="14" t="n">
        <v>2269</v>
      </c>
      <c r="H178" s="13" t="s">
        <v>18</v>
      </c>
      <c r="I178" s="15" t="n">
        <v>0.0291</v>
      </c>
      <c r="J178" s="16" t="n">
        <f aca="false">IFERROR(INDEX('Como ler'!$B$20:$B$24,MATCH(H178,'Como ler'!$A$20:$A$24,0)),"")</f>
        <v>0.04</v>
      </c>
      <c r="K178" s="17" t="n">
        <f aca="false">IF(OR(I178="",J178=""),"",I178/J178)</f>
        <v>0.7275</v>
      </c>
      <c r="L178" s="14" t="n">
        <v>80</v>
      </c>
      <c r="M178" s="18" t="n">
        <v>7.2</v>
      </c>
      <c r="N178" s="14"/>
      <c r="O178" s="17" t="str">
        <f aca="false">IF(OR(N178="",G178=0),"",N178/G178)</f>
        <v/>
      </c>
      <c r="P178" s="19" t="n">
        <v>0</v>
      </c>
      <c r="Q178" s="20" t="n">
        <v>0.5</v>
      </c>
      <c r="R178" s="21" t="n">
        <v>46278</v>
      </c>
      <c r="S178" s="22" t="n">
        <f aca="false">IF(R178="","",'Como ler'!$B$27-R178)</f>
        <v>14</v>
      </c>
      <c r="T178" s="13" t="n">
        <v>0</v>
      </c>
      <c r="U178" s="13"/>
      <c r="V178" s="13" t="s">
        <v>45</v>
      </c>
      <c r="W178" s="13" t="s">
        <v>726</v>
      </c>
      <c r="X178" s="26" t="s">
        <v>129</v>
      </c>
      <c r="Y178" s="13" t="n">
        <f aca="false">ROUND(IF(K178="",0,MIN(40,40*K178/1.5))+IF(S178="",0,IF(S178&lt;=7,20,IF(S178&lt;=30,12,IF(S178&lt;=90,5,0))))+IF(Q178="",0,MIN(15,Q178*5))+IF(O178="",0,MIN(15,O178*30))+IF(E178="Criador(a)",10,IF(E178="Especialista que cria conteúdo",6,4)),0)</f>
        <v>40</v>
      </c>
      <c r="Z178" s="13" t="s">
        <v>430</v>
      </c>
      <c r="AA178" s="13"/>
      <c r="AB178" s="13" t="s">
        <v>113</v>
      </c>
      <c r="AC178" s="13"/>
      <c r="AD178" s="13" t="s">
        <v>1144</v>
      </c>
      <c r="AE178" s="13" t="s">
        <v>1196</v>
      </c>
      <c r="AF178" s="13" t="s">
        <v>1197</v>
      </c>
      <c r="AG178" s="24" t="s">
        <v>1198</v>
      </c>
      <c r="AH178" s="13" t="s">
        <v>100</v>
      </c>
      <c r="AI178" s="13"/>
    </row>
    <row r="179" customFormat="false" ht="15" hidden="false" customHeight="false" outlineLevel="0" collapsed="false">
      <c r="A179" s="13" t="s">
        <v>38</v>
      </c>
      <c r="B179" s="13"/>
      <c r="C179" s="13" t="s">
        <v>1199</v>
      </c>
      <c r="D179" s="13" t="s">
        <v>1200</v>
      </c>
      <c r="E179" s="13" t="s">
        <v>30</v>
      </c>
      <c r="F179" s="13" t="s">
        <v>28</v>
      </c>
      <c r="G179" s="14" t="n">
        <v>2228</v>
      </c>
      <c r="H179" s="13" t="s">
        <v>18</v>
      </c>
      <c r="I179" s="15" t="n">
        <v>0.0287</v>
      </c>
      <c r="J179" s="16" t="n">
        <f aca="false">IFERROR(INDEX('Como ler'!$B$20:$B$24,MATCH(H179,'Como ler'!$A$20:$A$24,0)),"")</f>
        <v>0.04</v>
      </c>
      <c r="K179" s="17" t="n">
        <f aca="false">IF(OR(I179="",J179=""),"",I179/J179)</f>
        <v>0.7175</v>
      </c>
      <c r="L179" s="14" t="n">
        <v>61</v>
      </c>
      <c r="M179" s="18" t="n">
        <v>15.1</v>
      </c>
      <c r="N179" s="14" t="n">
        <v>614</v>
      </c>
      <c r="O179" s="17" t="n">
        <f aca="false">IF(OR(N179="",G179=0),"",N179/G179)</f>
        <v>0.275583482944345</v>
      </c>
      <c r="P179" s="19" t="n">
        <v>0.5</v>
      </c>
      <c r="Q179" s="20" t="n">
        <v>3</v>
      </c>
      <c r="R179" s="21" t="n">
        <v>46292</v>
      </c>
      <c r="S179" s="22" t="n">
        <f aca="false">IF(R179="","",'Como ler'!$B$27-R179)</f>
        <v>0</v>
      </c>
      <c r="T179" s="13" t="n">
        <v>0</v>
      </c>
      <c r="U179" s="13"/>
      <c r="V179" s="13" t="s">
        <v>45</v>
      </c>
      <c r="W179" s="13" t="s">
        <v>180</v>
      </c>
      <c r="X179" s="26" t="s">
        <v>129</v>
      </c>
      <c r="Y179" s="13" t="n">
        <f aca="false">ROUND(IF(K179="",0,MIN(40,40*K179/1.5))+IF(S179="",0,IF(S179&lt;=7,20,IF(S179&lt;=30,12,IF(S179&lt;=90,5,0))))+IF(Q179="",0,MIN(15,Q179*5))+IF(O179="",0,MIN(15,O179*30))+IF(E179="Criador(a)",10,IF(E179="Especialista que cria conteúdo",6,4)),0)</f>
        <v>72</v>
      </c>
      <c r="Z179" s="13"/>
      <c r="AA179" s="13"/>
      <c r="AB179" s="13"/>
      <c r="AC179" s="13"/>
      <c r="AD179" s="13" t="s">
        <v>1201</v>
      </c>
      <c r="AE179" s="13" t="s">
        <v>1202</v>
      </c>
      <c r="AF179" s="13" t="s">
        <v>1203</v>
      </c>
      <c r="AG179" s="24" t="s">
        <v>1204</v>
      </c>
      <c r="AH179" s="13" t="s">
        <v>100</v>
      </c>
      <c r="AI179" s="13"/>
    </row>
    <row r="180" customFormat="false" ht="15" hidden="false" customHeight="false" outlineLevel="0" collapsed="false">
      <c r="A180" s="13" t="s">
        <v>38</v>
      </c>
      <c r="B180" s="13" t="s">
        <v>1205</v>
      </c>
      <c r="C180" s="13" t="s">
        <v>1206</v>
      </c>
      <c r="D180" s="13" t="s">
        <v>1207</v>
      </c>
      <c r="E180" s="13" t="s">
        <v>200</v>
      </c>
      <c r="F180" s="13" t="s">
        <v>201</v>
      </c>
      <c r="G180" s="14" t="n">
        <v>2142</v>
      </c>
      <c r="H180" s="13" t="s">
        <v>18</v>
      </c>
      <c r="I180" s="15" t="n">
        <v>0.0028</v>
      </c>
      <c r="J180" s="16" t="n">
        <f aca="false">IFERROR(INDEX('Como ler'!$B$20:$B$24,MATCH(H180,'Como ler'!$A$20:$A$24,0)),"")</f>
        <v>0.04</v>
      </c>
      <c r="K180" s="17" t="n">
        <f aca="false">IF(OR(I180="",J180=""),"",I180/J180)</f>
        <v>0.07</v>
      </c>
      <c r="L180" s="14" t="n">
        <v>7</v>
      </c>
      <c r="M180" s="18" t="n">
        <v>0</v>
      </c>
      <c r="N180" s="14"/>
      <c r="O180" s="17" t="str">
        <f aca="false">IF(OR(N180="",G180=0),"",N180/G180)</f>
        <v/>
      </c>
      <c r="P180" s="19" t="n">
        <v>0</v>
      </c>
      <c r="Q180" s="20" t="n">
        <v>4.7</v>
      </c>
      <c r="R180" s="21" t="n">
        <v>46091</v>
      </c>
      <c r="S180" s="22" t="n">
        <f aca="false">IF(R180="","",'Como ler'!$B$27-R180)</f>
        <v>201</v>
      </c>
      <c r="T180" s="13" t="n">
        <v>0</v>
      </c>
      <c r="U180" s="13"/>
      <c r="V180" s="13" t="s">
        <v>46</v>
      </c>
      <c r="W180" s="13" t="s">
        <v>779</v>
      </c>
      <c r="X180" s="23" t="s">
        <v>94</v>
      </c>
      <c r="Y180" s="13" t="n">
        <f aca="false">ROUND(IF(K180="",0,MIN(40,40*K180/1.5))+IF(S180="",0,IF(S180&lt;=7,20,IF(S180&lt;=30,12,IF(S180&lt;=90,5,0))))+IF(Q180="",0,MIN(15,Q180*5))+IF(O180="",0,MIN(15,O180*30))+IF(E180="Criador(a)",10,IF(E180="Especialista que cria conteúdo",6,4)),0)</f>
        <v>21</v>
      </c>
      <c r="Z180" s="13" t="s">
        <v>105</v>
      </c>
      <c r="AA180" s="13"/>
      <c r="AB180" s="13"/>
      <c r="AC180" s="13" t="s">
        <v>114</v>
      </c>
      <c r="AD180" s="13" t="s">
        <v>1208</v>
      </c>
      <c r="AE180" s="13" t="s">
        <v>1209</v>
      </c>
      <c r="AF180" s="13" t="s">
        <v>1210</v>
      </c>
      <c r="AG180" s="24" t="s">
        <v>1211</v>
      </c>
      <c r="AH180" s="13" t="s">
        <v>100</v>
      </c>
      <c r="AI180" s="13"/>
    </row>
    <row r="181" customFormat="false" ht="15" hidden="false" customHeight="false" outlineLevel="0" collapsed="false">
      <c r="A181" s="13" t="s">
        <v>38</v>
      </c>
      <c r="B181" s="13"/>
      <c r="C181" s="13" t="s">
        <v>1212</v>
      </c>
      <c r="D181" s="13" t="s">
        <v>1213</v>
      </c>
      <c r="E181" s="13" t="s">
        <v>30</v>
      </c>
      <c r="F181" s="13" t="s">
        <v>28</v>
      </c>
      <c r="G181" s="14" t="n">
        <v>1544</v>
      </c>
      <c r="H181" s="13" t="s">
        <v>18</v>
      </c>
      <c r="I181" s="15" t="n">
        <v>0.0434</v>
      </c>
      <c r="J181" s="16" t="n">
        <f aca="false">IFERROR(INDEX('Como ler'!$B$20:$B$24,MATCH(H181,'Como ler'!$A$20:$A$24,0)),"")</f>
        <v>0.04</v>
      </c>
      <c r="K181" s="17" t="n">
        <f aca="false">IF(OR(I181="",J181=""),"",I181/J181)</f>
        <v>1.085</v>
      </c>
      <c r="L181" s="14" t="n">
        <v>61</v>
      </c>
      <c r="M181" s="18" t="n">
        <v>4.1</v>
      </c>
      <c r="N181" s="14" t="n">
        <v>983</v>
      </c>
      <c r="O181" s="17" t="n">
        <f aca="false">IF(OR(N181="",G181=0),"",N181/G181)</f>
        <v>0.636658031088083</v>
      </c>
      <c r="P181" s="19" t="n">
        <v>0.56</v>
      </c>
      <c r="Q181" s="20" t="n">
        <v>1.3</v>
      </c>
      <c r="R181" s="21" t="n">
        <v>46292</v>
      </c>
      <c r="S181" s="22" t="n">
        <f aca="false">IF(R181="","",'Como ler'!$B$27-R181)</f>
        <v>0</v>
      </c>
      <c r="T181" s="13" t="n">
        <v>0</v>
      </c>
      <c r="U181" s="13"/>
      <c r="V181" s="13" t="s">
        <v>53</v>
      </c>
      <c r="W181" s="13" t="s">
        <v>53</v>
      </c>
      <c r="X181" s="26" t="s">
        <v>129</v>
      </c>
      <c r="Y181" s="13" t="n">
        <f aca="false">ROUND(IF(K181="",0,MIN(40,40*K181/1.5))+IF(S181="",0,IF(S181&lt;=7,20,IF(S181&lt;=30,12,IF(S181&lt;=90,5,0))))+IF(Q181="",0,MIN(15,Q181*5))+IF(O181="",0,MIN(15,O181*30))+IF(E181="Criador(a)",10,IF(E181="Especialista que cria conteúdo",6,4)),0)</f>
        <v>80</v>
      </c>
      <c r="Z181" s="13" t="s">
        <v>105</v>
      </c>
      <c r="AA181" s="13"/>
      <c r="AB181" s="13" t="s">
        <v>113</v>
      </c>
      <c r="AC181" s="13"/>
      <c r="AD181" s="13" t="s">
        <v>1033</v>
      </c>
      <c r="AE181" s="13"/>
      <c r="AF181" s="13" t="s">
        <v>1214</v>
      </c>
      <c r="AG181" s="24" t="s">
        <v>1215</v>
      </c>
      <c r="AH181" s="13" t="s">
        <v>100</v>
      </c>
      <c r="AI181" s="13"/>
    </row>
    <row r="182" customFormat="false" ht="15" hidden="false" customHeight="false" outlineLevel="0" collapsed="false">
      <c r="A182" s="13" t="s">
        <v>38</v>
      </c>
      <c r="B182" s="13"/>
      <c r="C182" s="13" t="s">
        <v>1216</v>
      </c>
      <c r="D182" s="13" t="s">
        <v>1217</v>
      </c>
      <c r="E182" s="13" t="s">
        <v>30</v>
      </c>
      <c r="F182" s="13" t="s">
        <v>28</v>
      </c>
      <c r="G182" s="14" t="n">
        <v>1295</v>
      </c>
      <c r="H182" s="13" t="s">
        <v>18</v>
      </c>
      <c r="I182" s="15" t="n">
        <v>0.0205</v>
      </c>
      <c r="J182" s="16" t="n">
        <f aca="false">IFERROR(INDEX('Como ler'!$B$20:$B$24,MATCH(H182,'Como ler'!$A$20:$A$24,0)),"")</f>
        <v>0.04</v>
      </c>
      <c r="K182" s="17" t="n">
        <f aca="false">IF(OR(I182="",J182=""),"",I182/J182)</f>
        <v>0.5125</v>
      </c>
      <c r="L182" s="14" t="n">
        <v>27</v>
      </c>
      <c r="M182" s="18" t="n">
        <v>4.8</v>
      </c>
      <c r="N182" s="14" t="n">
        <v>400</v>
      </c>
      <c r="O182" s="17" t="n">
        <f aca="false">IF(OR(N182="",G182=0),"",N182/G182)</f>
        <v>0.308880308880309</v>
      </c>
      <c r="P182" s="19" t="n">
        <v>0.5</v>
      </c>
      <c r="Q182" s="20" t="n">
        <v>1.9</v>
      </c>
      <c r="R182" s="21" t="n">
        <v>46292</v>
      </c>
      <c r="S182" s="22" t="n">
        <f aca="false">IF(R182="","",'Como ler'!$B$27-R182)</f>
        <v>0</v>
      </c>
      <c r="T182" s="13" t="n">
        <v>0</v>
      </c>
      <c r="U182" s="13"/>
      <c r="V182" s="13" t="s">
        <v>45</v>
      </c>
      <c r="W182" s="13" t="s">
        <v>45</v>
      </c>
      <c r="X182" s="25" t="s">
        <v>104</v>
      </c>
      <c r="Y182" s="13" t="n">
        <f aca="false">ROUND(IF(K182="",0,MIN(40,40*K182/1.5))+IF(S182="",0,IF(S182&lt;=7,20,IF(S182&lt;=30,12,IF(S182&lt;=90,5,0))))+IF(Q182="",0,MIN(15,Q182*5))+IF(O182="",0,MIN(15,O182*30))+IF(E182="Criador(a)",10,IF(E182="Especialista que cria conteúdo",6,4)),0)</f>
        <v>62</v>
      </c>
      <c r="Z182" s="13"/>
      <c r="AA182" s="13"/>
      <c r="AB182" s="13"/>
      <c r="AC182" s="13"/>
      <c r="AD182" s="13" t="s">
        <v>1218</v>
      </c>
      <c r="AE182" s="13" t="s">
        <v>1219</v>
      </c>
      <c r="AF182" s="13" t="s">
        <v>1220</v>
      </c>
      <c r="AG182" s="24" t="s">
        <v>1221</v>
      </c>
      <c r="AH182" s="13" t="s">
        <v>100</v>
      </c>
      <c r="AI182" s="13"/>
    </row>
    <row r="183" customFormat="false" ht="15" hidden="false" customHeight="false" outlineLevel="0" collapsed="false">
      <c r="A183" s="13" t="s">
        <v>38</v>
      </c>
      <c r="B183" s="13" t="s">
        <v>36</v>
      </c>
      <c r="C183" s="13" t="s">
        <v>1222</v>
      </c>
      <c r="D183" s="13" t="s">
        <v>1223</v>
      </c>
      <c r="E183" s="13" t="s">
        <v>30</v>
      </c>
      <c r="F183" s="13" t="s">
        <v>28</v>
      </c>
      <c r="G183" s="14" t="n">
        <v>1233</v>
      </c>
      <c r="H183" s="13" t="s">
        <v>18</v>
      </c>
      <c r="I183" s="15" t="n">
        <v>0.017</v>
      </c>
      <c r="J183" s="16" t="n">
        <f aca="false">IFERROR(INDEX('Como ler'!$B$20:$B$24,MATCH(H183,'Como ler'!$A$20:$A$24,0)),"")</f>
        <v>0.04</v>
      </c>
      <c r="K183" s="17" t="n">
        <f aca="false">IF(OR(I183="",J183=""),"",I183/J183)</f>
        <v>0.425</v>
      </c>
      <c r="L183" s="14" t="n">
        <v>270</v>
      </c>
      <c r="M183" s="18" t="n">
        <v>8.6</v>
      </c>
      <c r="N183" s="14" t="n">
        <v>2452</v>
      </c>
      <c r="O183" s="17" t="n">
        <f aca="false">IF(OR(N183="",G183=0),"",N183/G183)</f>
        <v>1.98864557988646</v>
      </c>
      <c r="P183" s="19" t="n">
        <v>0.36</v>
      </c>
      <c r="Q183" s="20" t="n">
        <v>1.5</v>
      </c>
      <c r="R183" s="21" t="n">
        <v>46291</v>
      </c>
      <c r="S183" s="22" t="n">
        <f aca="false">IF(R183="","",'Como ler'!$B$27-R183)</f>
        <v>1</v>
      </c>
      <c r="T183" s="13" t="n">
        <v>1</v>
      </c>
      <c r="U183" s="13"/>
      <c r="V183" s="13" t="s">
        <v>45</v>
      </c>
      <c r="W183" s="13" t="s">
        <v>45</v>
      </c>
      <c r="X183" s="25" t="s">
        <v>104</v>
      </c>
      <c r="Y183" s="13" t="n">
        <f aca="false">ROUND(IF(K183="",0,MIN(40,40*K183/1.5))+IF(S183="",0,IF(S183&lt;=7,20,IF(S183&lt;=30,12,IF(S183&lt;=90,5,0))))+IF(Q183="",0,MIN(15,Q183*5))+IF(O183="",0,MIN(15,O183*30))+IF(E183="Criador(a)",10,IF(E183="Especialista que cria conteúdo",6,4)),0)</f>
        <v>64</v>
      </c>
      <c r="Z183" s="13"/>
      <c r="AA183" s="13"/>
      <c r="AB183" s="13"/>
      <c r="AC183" s="13"/>
      <c r="AD183" s="13" t="s">
        <v>1224</v>
      </c>
      <c r="AE183" s="13" t="s">
        <v>1225</v>
      </c>
      <c r="AF183" s="13" t="s">
        <v>1226</v>
      </c>
      <c r="AG183" s="24" t="s">
        <v>1227</v>
      </c>
      <c r="AH183" s="13" t="s">
        <v>100</v>
      </c>
      <c r="AI183" s="13"/>
    </row>
  </sheetData>
  <autoFilter ref="A1:AI183"/>
  <dataValidations count="1">
    <dataValidation allowBlank="true" errorStyle="stop" operator="between" showDropDown="false" showErrorMessage="false" showInputMessage="false" sqref="AH2:AH183" type="list">
      <formula1>"Não contatada,DM enviada,Respondeu,Negociando,Fechada,Recusou,Descartada"</formula1>
      <formula2>0</formula2>
    </dataValidation>
  </dataValidations>
  <hyperlinks>
    <hyperlink ref="AG2" r:id="rId1" display="https://instagram.com/thaisedemari"/>
    <hyperlink ref="AG3" r:id="rId2" display="https://instagram.com/lucasmirandasc"/>
    <hyperlink ref="AG4" r:id="rId3" display="https://instagram.com/superdicasnaestrada"/>
    <hyperlink ref="AG5" r:id="rId4" display="https://instagram.com/raissaarcanjo"/>
    <hyperlink ref="AG6" r:id="rId5" display="https://instagram.com/itajaisc_"/>
    <hyperlink ref="AG7" r:id="rId6" display="https://instagram.com/nubiakatyoficial"/>
    <hyperlink ref="AG8" r:id="rId7" display="https://instagram.com/eogriilo"/>
    <hyperlink ref="AG9" r:id="rId8" display="https://instagram.com/gabryelnuness"/>
    <hyperlink ref="AG10" r:id="rId9" display="https://instagram.com/julianadomareski"/>
    <hyperlink ref="AG11" r:id="rId10" display="https://instagram.com/gabyoliveirasc"/>
    <hyperlink ref="AG12" r:id="rId11" display="https://instagram.com/tatypassos__"/>
    <hyperlink ref="AG13" r:id="rId12" display="https://instagram.com/toemdrika"/>
    <hyperlink ref="AG14" r:id="rId13" display="https://instagram.com/mordomorodrigo_oficial"/>
    <hyperlink ref="AG15" r:id="rId14" display="https://instagram.com/herique.finatto"/>
    <hyperlink ref="AG16" r:id="rId15" display="https://instagram.com/shophome.brasil"/>
    <hyperlink ref="AG17" r:id="rId16" display="https://instagram.com/isabelaonofre"/>
    <hyperlink ref="AG18" r:id="rId17" display="https://instagram.com/bevieiraa"/>
    <hyperlink ref="AG19" r:id="rId18" display="https://instagram.com/melissagmenezes"/>
    <hyperlink ref="AG20" r:id="rId19" display="https://instagram.com/divulgaitajai"/>
    <hyperlink ref="AG21" r:id="rId20" display="https://instagram.com/solaynesantos"/>
    <hyperlink ref="AG22" r:id="rId21" display="https://instagram.com/brigadeiroealecrim"/>
    <hyperlink ref="AG23" r:id="rId22" display="https://instagram.com/eubarbaraabreu"/>
    <hyperlink ref="AG24" r:id="rId23" display="https://instagram.com/omelhordeitajai"/>
    <hyperlink ref="AG25" r:id="rId24" display="https://instagram.com/lu.monaly"/>
    <hyperlink ref="AG26" r:id="rId25" display="https://instagram.com/cademinhascoisas"/>
    <hyperlink ref="AG27" r:id="rId26" display="https://instagram.com/bruna_alika"/>
    <hyperlink ref="AG28" r:id="rId27" display="https://instagram.com/millycristt"/>
    <hyperlink ref="AG29" r:id="rId28" display="https://instagram.com/thais_araujo.7"/>
    <hyperlink ref="AG30" r:id="rId29" display="https://instagram.com/gabxmelo"/>
    <hyperlink ref="AG31" r:id="rId30" display="https://instagram.com/joanakathelen"/>
    <hyperlink ref="AG32" r:id="rId31" display="https://instagram.com/n1kx_x"/>
    <hyperlink ref="AG33" r:id="rId32" display="https://instagram.com/itajaimilgr4u"/>
    <hyperlink ref="AG34" r:id="rId33" display="https://instagram.com/danielipickering"/>
    <hyperlink ref="AG35" r:id="rId34" display="https://instagram.com/ana_paula_videomaker"/>
    <hyperlink ref="AG36" r:id="rId35" display="https://instagram.com/marcelabontorin"/>
    <hyperlink ref="AG37" r:id="rId36" display="https://instagram.com/tonsdeana"/>
    <hyperlink ref="AG38" r:id="rId37" display="https://instagram.com/brunasamanthas"/>
    <hyperlink ref="AG39" r:id="rId38" display="https://instagram.com/andreza.marinho_22"/>
    <hyperlink ref="AG40" r:id="rId39" display="https://instagram.com/brunoleon.blm"/>
    <hyperlink ref="AG41" r:id="rId40" display="https://instagram.com/karinawbauer"/>
    <hyperlink ref="AG42" r:id="rId41" display="https://instagram.com/rurikdrone"/>
    <hyperlink ref="AG43" r:id="rId42" display="https://instagram.com/annacarolgarimpo"/>
    <hyperlink ref="AG44" r:id="rId43" display="https://instagram.com/enfbapereira"/>
    <hyperlink ref="AG45" r:id="rId44" display="https://instagram.com/isabbelle_m"/>
    <hyperlink ref="AG46" r:id="rId45" display="https://instagram.com/eudanielabonet"/>
    <hyperlink ref="AG47" r:id="rId46" display="https://instagram.com/psicologademae"/>
    <hyperlink ref="AG48" r:id="rId47" display="https://instagram.com/rafaeldoutore"/>
    <hyperlink ref="AG49" r:id="rId48" display="https://instagram.com/treinador_veiga"/>
    <hyperlink ref="AG50" r:id="rId49" display="https://instagram.com/clebercoragem"/>
    <hyperlink ref="AG51" r:id="rId50" display="https://instagram.com/amandadumbrofsqui"/>
    <hyperlink ref="AG52" r:id="rId51" display="https://instagram.com/leandrogatelli_personal"/>
    <hyperlink ref="AG53" r:id="rId52" display="https://instagram.com/ddiegoo.martins"/>
    <hyperlink ref="AG54" r:id="rId53" display="https://instagram.com/silviaandreamota"/>
    <hyperlink ref="AG55" r:id="rId54" display="https://instagram.com/doulacriscurvello"/>
    <hyperlink ref="AG56" r:id="rId55" display="https://instagram.com/personalorganizer.karen"/>
    <hyperlink ref="AG57" r:id="rId56" display="https://instagram.com/byleticiagartner"/>
    <hyperlink ref="AG58" r:id="rId57" display="https://instagram.com/o.clebernunes"/>
    <hyperlink ref="AG59" r:id="rId58" display="https://instagram.com/brunamarqes"/>
    <hyperlink ref="AG60" r:id="rId59" display="https://instagram.com/brunarotta_"/>
    <hyperlink ref="AG61" r:id="rId60" display="https://instagram.com/letsbalneario"/>
    <hyperlink ref="AG62" r:id="rId61" display="https://instagram.com/blogueiracamilar"/>
    <hyperlink ref="AG63" r:id="rId62" display="https://instagram.com/_balneario_camboriu"/>
    <hyperlink ref="AG64" r:id="rId63" display="https://instagram.com/bccity_"/>
    <hyperlink ref="AG65" r:id="rId64" display="https://instagram.com/balneariocamboriuemfocoo"/>
    <hyperlink ref="AG66" r:id="rId65" display="https://instagram.com/kcrespi"/>
    <hyperlink ref="AG67" r:id="rId66" display="https://instagram.com/maduwebberr"/>
    <hyperlink ref="AG68" r:id="rId67" display="https://instagram.com/ondeirbc"/>
    <hyperlink ref="AG69" r:id="rId68" display="https://instagram.com/lugaresdebc"/>
    <hyperlink ref="AG70" r:id="rId69" display="https://instagram.com/coisasquecomo"/>
    <hyperlink ref="AG71" r:id="rId70" display="https://instagram.com/eucarolinaalbuquerque"/>
    <hyperlink ref="AG72" r:id="rId71" display="https://instagram.com/paulafpaiva"/>
    <hyperlink ref="AG73" r:id="rId72" display="https://instagram.com/leidy_knowles"/>
    <hyperlink ref="AG74" r:id="rId73" display="https://instagram.com/rolezandoembcc"/>
    <hyperlink ref="AG75" r:id="rId74" display="https://instagram.com/nicoleborsatto"/>
    <hyperlink ref="AG76" r:id="rId75" display="https://instagram.com/gabrielabrenda_"/>
    <hyperlink ref="AG77" r:id="rId76" display="https://instagram.com/dra.alynnegalindo"/>
    <hyperlink ref="AG78" r:id="rId77" display="https://instagram.com/karina_smaniotto"/>
    <hyperlink ref="AG79" r:id="rId78" display="https://instagram.com/alanazandonai"/>
    <hyperlink ref="AG80" r:id="rId79" display="https://instagram.com/balneariomilgrau_"/>
    <hyperlink ref="AG81" r:id="rId80" display="https://instagram.com/fabioframeup"/>
    <hyperlink ref="AG82" r:id="rId81" display="https://instagram.com/bcemfotos"/>
    <hyperlink ref="AG83" r:id="rId82" display="https://instagram.com/letiiciaramosss"/>
    <hyperlink ref="AG84" r:id="rId83" display="https://instagram.com/paulinhocatarina"/>
    <hyperlink ref="AG85" r:id="rId84" display="https://instagram.com/scorphousebc"/>
    <hyperlink ref="AG86" r:id="rId85" display="https://instagram.com/vivipotrich"/>
    <hyperlink ref="AG87" r:id="rId86" display="https://instagram.com/matheus_ramosc"/>
    <hyperlink ref="AG88" r:id="rId87" display="https://instagram.com/annarafaellanogueira"/>
    <hyperlink ref="AG89" r:id="rId88" display="https://instagram.com/balneariocamboriubr"/>
    <hyperlink ref="AG90" r:id="rId89" display="https://instagram.com/lucianomastria"/>
    <hyperlink ref="AG91" r:id="rId90" display="https://instagram.com/lidianyazevedocantora"/>
    <hyperlink ref="AG92" r:id="rId91" display="https://instagram.com/visitebceregiao"/>
    <hyperlink ref="AG93" r:id="rId92" display="https://instagram.com/ovendedorderua"/>
    <hyperlink ref="AG94" r:id="rId93" display="https://instagram.com/andresonlindemberg"/>
    <hyperlink ref="AG95" r:id="rId94" display="https://instagram.com/guilhermefiguero"/>
    <hyperlink ref="AG96" r:id="rId95" display="https://instagram.com/jessica.santtosp"/>
    <hyperlink ref="AG97" r:id="rId96" display="https://instagram.com/brunafarias.93"/>
    <hyperlink ref="AG98" r:id="rId97" display="https://instagram.com/jordanamedeirosb"/>
    <hyperlink ref="AG99" r:id="rId98" display="https://instagram.com/thiagohlopes.treinador"/>
    <hyperlink ref="AG100" r:id="rId99" display="https://instagram.com/draamanda_rodrigues"/>
    <hyperlink ref="AG101" r:id="rId100" display="https://instagram.com/diego7benassi"/>
    <hyperlink ref="AG102" r:id="rId101" display="https://instagram.com/vanessalesnieski"/>
    <hyperlink ref="AG103" r:id="rId102" display="https://instagram.com/abnerbernardes__"/>
    <hyperlink ref="AG104" r:id="rId103" display="https://instagram.com/privieiraorganiza"/>
    <hyperlink ref="AG105" r:id="rId104" display="https://instagram.com/giseleschmitt___"/>
    <hyperlink ref="AG106" r:id="rId105" display="https://instagram.com/johnnycashogato"/>
    <hyperlink ref="AG107" r:id="rId106" display="https://instagram.com/patriciasilvaorganizer"/>
    <hyperlink ref="AG108" r:id="rId107" display="https://instagram.com/balneariodicas"/>
    <hyperlink ref="AG109" r:id="rId108" display="https://instagram.com/danymatiasbc"/>
    <hyperlink ref="AG110" r:id="rId109" display="https://instagram.com/deborahdz"/>
    <hyperlink ref="AG111" r:id="rId110" display="https://instagram.com/andreiamazzochi_"/>
    <hyperlink ref="AG112" r:id="rId111" display="https://instagram.com/jazminnnavarro"/>
    <hyperlink ref="AG113" r:id="rId112" display="https://instagram.com/correbc"/>
    <hyperlink ref="AG114" r:id="rId113" display="https://instagram.com/maira_l.c"/>
    <hyperlink ref="AG115" r:id="rId114" display="https://instagram.com/cris_kamph"/>
    <hyperlink ref="AG116" r:id="rId115" display="https://instagram.com/paolopohlmann"/>
    <hyperlink ref="AG117" r:id="rId116" display="https://instagram.com/tatianatorresbb"/>
    <hyperlink ref="AG118" r:id="rId117" display="https://instagram.com/personalmichaeldouglas"/>
    <hyperlink ref="AG119" r:id="rId118" display="https://instagram.com/paulagarciapersonal"/>
    <hyperlink ref="AG120" r:id="rId119" display="https://instagram.com/_camilaaltenhofen"/>
    <hyperlink ref="AG121" r:id="rId120" display="https://instagram.com/karen_personal96"/>
    <hyperlink ref="AG122" r:id="rId121" display="https://instagram.com/pippo_ramirez"/>
    <hyperlink ref="AG123" r:id="rId122" display="https://instagram.com/juliovaleriojv"/>
    <hyperlink ref="AG124" r:id="rId123" display="https://instagram.com/ane.furtado"/>
    <hyperlink ref="AG125" r:id="rId124" display="https://instagram.com/rochapatriciaj"/>
    <hyperlink ref="AG126" r:id="rId125" display="https://instagram.com/organizzo.op"/>
    <hyperlink ref="AG127" r:id="rId126" display="https://instagram.com/gabisc07"/>
    <hyperlink ref="AG128" r:id="rId127" display="https://instagram.com/rodrigo_silva_ct_cross"/>
    <hyperlink ref="AG129" r:id="rId128" display="https://instagram.com/gabrmartins"/>
    <hyperlink ref="AG130" r:id="rId129" display="https://instagram.com/vivabc.joseph"/>
    <hyperlink ref="AG131" r:id="rId130" display="https://instagram.com/temporadacamboriu"/>
    <hyperlink ref="AG132" r:id="rId131" display="https://instagram.com/jennioliver1"/>
    <hyperlink ref="AG133" r:id="rId132" display="https://instagram.com/inessantisbc"/>
    <hyperlink ref="AG134" r:id="rId133" display="https://instagram.com/personalpaulaff"/>
    <hyperlink ref="AG135" r:id="rId134" display="https://instagram.com/anacr.m"/>
    <hyperlink ref="AG136" r:id="rId135" display="https://instagram.com/treinadora_bruwaltrick"/>
    <hyperlink ref="AG137" r:id="rId136" display="https://instagram.com/alexsandrazarske"/>
    <hyperlink ref="AG138" r:id="rId137" display="https://instagram.com/bcvibesbc"/>
    <hyperlink ref="AG139" r:id="rId138" display="https://instagram.com/carlos89martins"/>
    <hyperlink ref="AG140" r:id="rId139" display="https://instagram.com/fernandavieiraconsultora"/>
    <hyperlink ref="AG141" r:id="rId140" display="https://instagram.com/mi.frias"/>
    <hyperlink ref="AG142" r:id="rId141" display="https://instagram.com/balneariocamboriu_cidade"/>
    <hyperlink ref="AG143" r:id="rId142" display="https://instagram.com/tainaraviau"/>
    <hyperlink ref="AG144" r:id="rId143" display="https://instagram.com/mmichelemartins"/>
    <hyperlink ref="AG145" r:id="rId144" display="https://instagram.com/elainesimoesnane"/>
    <hyperlink ref="AG146" r:id="rId145" display="https://instagram.com/amitalendo"/>
    <hyperlink ref="AG147" r:id="rId146" display="https://instagram.com/luujohann"/>
    <hyperlink ref="AG148" r:id="rId147" display="https://instagram.com/deluccamartins"/>
    <hyperlink ref="AG149" r:id="rId148" display="https://instagram.com/julianamaestri.bessani.psico"/>
    <hyperlink ref="AG150" r:id="rId149" display="https://instagram.com/tudodeitapema"/>
    <hyperlink ref="AG151" r:id="rId150" display="https://instagram.com/suellyns"/>
    <hyperlink ref="AG152" r:id="rId151" display="https://instagram.com/guimelo8"/>
    <hyperlink ref="AG153" r:id="rId152" display="https://instagram.com/carolschultzofc"/>
    <hyperlink ref="AG154" r:id="rId153" display="https://instagram.com/itapemaphotos"/>
    <hyperlink ref="AG155" r:id="rId154" display="https://instagram.com/olhardeitapema"/>
    <hyperlink ref="AG156" r:id="rId155" display="https://instagram.com/_viva_itapema"/>
    <hyperlink ref="AG157" r:id="rId156" display="https://instagram.com/negojoe"/>
    <hyperlink ref="AG158" r:id="rId157" display="https://instagram.com/falaitapema"/>
    <hyperlink ref="AG159" r:id="rId158" display="https://instagram.com/jessicaaolivei"/>
    <hyperlink ref="AG160" r:id="rId159" display="https://instagram.com/kamillesilveiraa_"/>
    <hyperlink ref="AG161" r:id="rId160" display="https://instagram.com/eduardoinvest.bc"/>
    <hyperlink ref="AG162" r:id="rId161" display="https://instagram.com/brunomarques_sc"/>
    <hyperlink ref="AG163" r:id="rId162" display="https://instagram.com/itapemabeach_"/>
    <hyperlink ref="AG164" r:id="rId163" display="https://instagram.com/silmarodesenhos"/>
    <hyperlink ref="AG165" r:id="rId164" display="https://instagram.com/carloshenrique.ads_"/>
    <hyperlink ref="AG166" r:id="rId165" display="https://instagram.com/vivi_balneariocamboriu"/>
    <hyperlink ref="AG167" r:id="rId166" display="https://instagram.com/karolina_mary"/>
    <hyperlink ref="AG168" r:id="rId167" display="https://instagram.com/joseelacerdaa"/>
    <hyperlink ref="AG169" r:id="rId168" display="https://instagram.com/nery_karolpersonal"/>
    <hyperlink ref="AG170" r:id="rId169" display="https://instagram.com/click.itapema"/>
    <hyperlink ref="AG171" r:id="rId170" display="https://instagram.com/terapeuta.dianabrandao"/>
    <hyperlink ref="AG172" r:id="rId171" display="https://instagram.com/heber.oliveira.pesca_de_praia"/>
    <hyperlink ref="AG173" r:id="rId172" display="https://instagram.com/camila_paloschi"/>
    <hyperlink ref="AG174" r:id="rId173" display="https://instagram.com/kaleujr"/>
    <hyperlink ref="AG175" r:id="rId174" display="https://instagram.com/rafajenei"/>
    <hyperlink ref="AG176" r:id="rId175" display="https://instagram.com/palomakehll"/>
    <hyperlink ref="AG177" r:id="rId176" display="https://instagram.com/flaviabruguer"/>
    <hyperlink ref="AG178" r:id="rId177" display="https://instagram.com/thaismurarotrainer"/>
    <hyperlink ref="AG179" r:id="rId178" display="https://instagram.com/machado.gi_"/>
    <hyperlink ref="AG180" r:id="rId179" display="https://instagram.com/boas_dicas_bc"/>
    <hyperlink ref="AG181" r:id="rId180" display="https://instagram.com/analeite0615"/>
    <hyperlink ref="AG182" r:id="rId181" display="https://instagram.com/tanise_vieira_"/>
    <hyperlink ref="AG183" r:id="rId182" display="https://instagram.com/andreiamouras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24"/>
    <col collapsed="false" customWidth="true" hidden="false" outlineLevel="0" max="22" min="22" style="0" width="20"/>
    <col collapsed="false" customWidth="true" hidden="false" outlineLevel="0" max="23" min="23" style="0" width="40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18"/>
    <col collapsed="false" customWidth="true" hidden="false" outlineLevel="0" max="28" min="27" style="0" width="8"/>
    <col collapsed="false" customWidth="true" hidden="false" outlineLevel="0" max="29" min="29" style="0" width="14"/>
    <col collapsed="false" customWidth="true" hidden="false" outlineLevel="0" max="30" min="30" style="0" width="34"/>
    <col collapsed="false" customWidth="true" hidden="false" outlineLevel="0" max="31" min="31" style="0" width="40"/>
    <col collapsed="false" customWidth="true" hidden="false" outlineLevel="0" max="32" min="32" style="0" width="60"/>
    <col collapsed="false" customWidth="true" hidden="false" outlineLevel="0" max="33" min="33" style="0" width="30"/>
    <col collapsed="false" customWidth="true" hidden="false" outlineLevel="0" max="34" min="34" style="0" width="14"/>
    <col collapsed="false" customWidth="true" hidden="false" outlineLevel="0" max="35" min="35" style="0" width="30"/>
  </cols>
  <sheetData>
    <row r="1" customFormat="false" ht="31.5" hidden="false" customHeight="true" outlineLevel="0" collapsed="false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30</v>
      </c>
      <c r="G1" s="12" t="s">
        <v>63</v>
      </c>
      <c r="H1" s="12" t="s">
        <v>16</v>
      </c>
      <c r="I1" s="12" t="s">
        <v>64</v>
      </c>
      <c r="J1" s="12" t="s">
        <v>65</v>
      </c>
      <c r="K1" s="12" t="s">
        <v>66</v>
      </c>
      <c r="L1" s="12" t="s">
        <v>67</v>
      </c>
      <c r="M1" s="12" t="s">
        <v>68</v>
      </c>
      <c r="N1" s="12" t="s">
        <v>69</v>
      </c>
      <c r="O1" s="12" t="s">
        <v>70</v>
      </c>
      <c r="P1" s="12" t="s">
        <v>71</v>
      </c>
      <c r="Q1" s="12" t="s">
        <v>72</v>
      </c>
      <c r="R1" s="12" t="s">
        <v>73</v>
      </c>
      <c r="S1" s="12" t="s">
        <v>74</v>
      </c>
      <c r="T1" s="12" t="s">
        <v>75</v>
      </c>
      <c r="U1" s="12" t="s">
        <v>76</v>
      </c>
      <c r="V1" s="12" t="s">
        <v>77</v>
      </c>
      <c r="W1" s="12" t="s">
        <v>78</v>
      </c>
      <c r="X1" s="12" t="s">
        <v>79</v>
      </c>
      <c r="Y1" s="12" t="s">
        <v>80</v>
      </c>
      <c r="Z1" s="12" t="s">
        <v>81</v>
      </c>
      <c r="AA1" s="12" t="s">
        <v>82</v>
      </c>
      <c r="AB1" s="12" t="s">
        <v>83</v>
      </c>
      <c r="AC1" s="12" t="s">
        <v>84</v>
      </c>
      <c r="AD1" s="12" t="s">
        <v>85</v>
      </c>
      <c r="AE1" s="12" t="s">
        <v>86</v>
      </c>
      <c r="AF1" s="12" t="s">
        <v>87</v>
      </c>
      <c r="AG1" s="12" t="s">
        <v>88</v>
      </c>
      <c r="AH1" s="12" t="s">
        <v>89</v>
      </c>
      <c r="AI1" s="12" t="s">
        <v>90</v>
      </c>
    </row>
    <row r="2" customFormat="false" ht="15" hidden="false" customHeight="false" outlineLevel="0" collapsed="false">
      <c r="A2" s="13" t="s">
        <v>35</v>
      </c>
      <c r="B2" s="13"/>
      <c r="C2" s="13" t="s">
        <v>91</v>
      </c>
      <c r="D2" s="13" t="s">
        <v>92</v>
      </c>
      <c r="E2" s="13" t="s">
        <v>30</v>
      </c>
      <c r="F2" s="13" t="s">
        <v>28</v>
      </c>
      <c r="G2" s="14" t="n">
        <v>1049161</v>
      </c>
      <c r="H2" s="13" t="s">
        <v>22</v>
      </c>
      <c r="I2" s="15" t="n">
        <v>0.0015</v>
      </c>
      <c r="J2" s="16" t="n">
        <f aca="false">IFERROR(INDEX('Como ler'!$B$20:$B$24,MATCH(H2,'Como ler'!$A$20:$A$24,0)),"")</f>
        <v>0.007</v>
      </c>
      <c r="K2" s="17" t="n">
        <f aca="false">IF(OR(I2="",J2=""),"",I2/J2)</f>
        <v>0.214285714285714</v>
      </c>
      <c r="L2" s="14" t="n">
        <v>2112</v>
      </c>
      <c r="M2" s="18" t="n">
        <v>86.8</v>
      </c>
      <c r="N2" s="14" t="n">
        <v>19137</v>
      </c>
      <c r="O2" s="17" t="n">
        <f aca="false">IF(OR(N2="",G2=0),"",N2/G2)</f>
        <v>0.0182402891453266</v>
      </c>
      <c r="P2" s="19" t="n">
        <v>0.42</v>
      </c>
      <c r="Q2" s="20" t="n">
        <v>0.9</v>
      </c>
      <c r="R2" s="21" t="n">
        <v>46286</v>
      </c>
      <c r="S2" s="22" t="n">
        <f aca="false">IF(R2="","",'Como ler'!$B$27-R2)</f>
        <v>6</v>
      </c>
      <c r="T2" s="13" t="n">
        <v>0</v>
      </c>
      <c r="U2" s="13"/>
      <c r="V2" s="13" t="s">
        <v>43</v>
      </c>
      <c r="W2" s="13" t="s">
        <v>93</v>
      </c>
      <c r="X2" s="23" t="s">
        <v>94</v>
      </c>
      <c r="Y2" s="13" t="n">
        <f aca="false">ROUND(IF(K2="",0,MIN(40,40*K2/1.5))+IF(S2="",0,IF(S2&lt;=7,20,IF(S2&lt;=30,12,IF(S2&lt;=90,5,0))))+IF(Q2="",0,MIN(15,Q2*5))+IF(O2="",0,MIN(15,O2*30))+IF(E2="Criador(a)",10,IF(E2="Especialista que cria conteúdo",6,4)),0)</f>
        <v>41</v>
      </c>
      <c r="Z2" s="13" t="s">
        <v>95</v>
      </c>
      <c r="AA2" s="13"/>
      <c r="AB2" s="13"/>
      <c r="AC2" s="13"/>
      <c r="AD2" s="13" t="s">
        <v>96</v>
      </c>
      <c r="AE2" s="13" t="s">
        <v>97</v>
      </c>
      <c r="AF2" s="13" t="s">
        <v>98</v>
      </c>
      <c r="AG2" s="24" t="s">
        <v>99</v>
      </c>
      <c r="AH2" s="13" t="s">
        <v>100</v>
      </c>
      <c r="AI2" s="13"/>
    </row>
    <row r="3" customFormat="false" ht="15" hidden="false" customHeight="false" outlineLevel="0" collapsed="false">
      <c r="A3" s="13" t="s">
        <v>35</v>
      </c>
      <c r="B3" s="13"/>
      <c r="C3" s="13" t="s">
        <v>101</v>
      </c>
      <c r="D3" s="13" t="s">
        <v>102</v>
      </c>
      <c r="E3" s="13" t="s">
        <v>30</v>
      </c>
      <c r="F3" s="13" t="s">
        <v>29</v>
      </c>
      <c r="G3" s="14" t="n">
        <v>189201</v>
      </c>
      <c r="H3" s="13" t="s">
        <v>21</v>
      </c>
      <c r="I3" s="15" t="n">
        <v>0.0033</v>
      </c>
      <c r="J3" s="16" t="n">
        <f aca="false">IFERROR(INDEX('Como ler'!$B$20:$B$24,MATCH(H3,'Como ler'!$A$20:$A$24,0)),"")</f>
        <v>0.01</v>
      </c>
      <c r="K3" s="17" t="n">
        <f aca="false">IF(OR(I3="",J3=""),"",I3/J3)</f>
        <v>0.33</v>
      </c>
      <c r="L3" s="14" t="n">
        <v>1060</v>
      </c>
      <c r="M3" s="18" t="n">
        <v>57.3</v>
      </c>
      <c r="N3" s="14" t="n">
        <v>22196</v>
      </c>
      <c r="O3" s="17" t="n">
        <f aca="false">IF(OR(N3="",G3=0),"",N3/G3)</f>
        <v>0.117314390515906</v>
      </c>
      <c r="P3" s="19" t="n">
        <v>0.67</v>
      </c>
      <c r="Q3" s="20" t="n">
        <v>0.7</v>
      </c>
      <c r="R3" s="21" t="n">
        <v>46292</v>
      </c>
      <c r="S3" s="22" t="n">
        <f aca="false">IF(R3="","",'Como ler'!$B$27-R3)</f>
        <v>0</v>
      </c>
      <c r="T3" s="13" t="n">
        <v>0</v>
      </c>
      <c r="U3" s="13"/>
      <c r="V3" s="13" t="s">
        <v>46</v>
      </c>
      <c r="W3" s="13" t="s">
        <v>103</v>
      </c>
      <c r="X3" s="25" t="s">
        <v>104</v>
      </c>
      <c r="Y3" s="13" t="n">
        <f aca="false">ROUND(IF(K3="",0,MIN(40,40*K3/1.5))+IF(S3="",0,IF(S3&lt;=7,20,IF(S3&lt;=30,12,IF(S3&lt;=90,5,0))))+IF(Q3="",0,MIN(15,Q3*5))+IF(O3="",0,MIN(15,O3*30))+IF(E3="Criador(a)",10,IF(E3="Especialista que cria conteúdo",6,4)),0)</f>
        <v>46</v>
      </c>
      <c r="Z3" s="13" t="s">
        <v>105</v>
      </c>
      <c r="AA3" s="13"/>
      <c r="AB3" s="13"/>
      <c r="AC3" s="13"/>
      <c r="AD3" s="13" t="s">
        <v>106</v>
      </c>
      <c r="AE3" s="13" t="s">
        <v>107</v>
      </c>
      <c r="AF3" s="13" t="s">
        <v>108</v>
      </c>
      <c r="AG3" s="24" t="s">
        <v>109</v>
      </c>
      <c r="AH3" s="13" t="s">
        <v>100</v>
      </c>
      <c r="AI3" s="13"/>
    </row>
    <row r="4" customFormat="false" ht="15" hidden="false" customHeight="false" outlineLevel="0" collapsed="false">
      <c r="A4" s="13" t="s">
        <v>35</v>
      </c>
      <c r="B4" s="13"/>
      <c r="C4" s="13" t="s">
        <v>110</v>
      </c>
      <c r="D4" s="13" t="s">
        <v>111</v>
      </c>
      <c r="E4" s="13" t="s">
        <v>30</v>
      </c>
      <c r="F4" s="13" t="s">
        <v>29</v>
      </c>
      <c r="G4" s="14" t="n">
        <v>100790</v>
      </c>
      <c r="H4" s="13" t="s">
        <v>21</v>
      </c>
      <c r="I4" s="15"/>
      <c r="J4" s="16" t="n">
        <f aca="false">IFERROR(INDEX('Como ler'!$B$20:$B$24,MATCH(H4,'Como ler'!$A$20:$A$24,0)),"")</f>
        <v>0.01</v>
      </c>
      <c r="K4" s="17" t="str">
        <f aca="false">IF(OR(I4="",J4=""),"",I4/J4)</f>
        <v/>
      </c>
      <c r="L4" s="14"/>
      <c r="M4" s="18" t="n">
        <v>48.2</v>
      </c>
      <c r="N4" s="14" t="n">
        <v>2518</v>
      </c>
      <c r="O4" s="17" t="n">
        <f aca="false">IF(OR(N4="",G4=0),"",N4/G4)</f>
        <v>0.0249826371663856</v>
      </c>
      <c r="P4" s="19" t="n">
        <v>0.89</v>
      </c>
      <c r="Q4" s="20" t="n">
        <v>1.5</v>
      </c>
      <c r="R4" s="21" t="n">
        <v>46284</v>
      </c>
      <c r="S4" s="22" t="n">
        <f aca="false">IF(R4="","",'Como ler'!$B$27-R4)</f>
        <v>8</v>
      </c>
      <c r="T4" s="13" t="n">
        <v>0</v>
      </c>
      <c r="U4" s="13"/>
      <c r="V4" s="13" t="s">
        <v>57</v>
      </c>
      <c r="W4" s="13" t="s">
        <v>112</v>
      </c>
      <c r="X4" s="25" t="s">
        <v>104</v>
      </c>
      <c r="Y4" s="13" t="n">
        <f aca="false">ROUND(IF(K4="",0,MIN(40,40*K4/1.5))+IF(S4="",0,IF(S4&lt;=7,20,IF(S4&lt;=30,12,IF(S4&lt;=90,5,0))))+IF(Q4="",0,MIN(15,Q4*5))+IF(O4="",0,MIN(15,O4*30))+IF(E4="Criador(a)",10,IF(E4="Especialista que cria conteúdo",6,4)),0)</f>
        <v>30</v>
      </c>
      <c r="Z4" s="13" t="s">
        <v>105</v>
      </c>
      <c r="AA4" s="13"/>
      <c r="AB4" s="13" t="s">
        <v>113</v>
      </c>
      <c r="AC4" s="13" t="s">
        <v>114</v>
      </c>
      <c r="AD4" s="13" t="s">
        <v>115</v>
      </c>
      <c r="AE4" s="13" t="s">
        <v>116</v>
      </c>
      <c r="AF4" s="13" t="s">
        <v>117</v>
      </c>
      <c r="AG4" s="24" t="s">
        <v>118</v>
      </c>
      <c r="AH4" s="13" t="s">
        <v>100</v>
      </c>
      <c r="AI4" s="13" t="s">
        <v>119</v>
      </c>
    </row>
    <row r="5" customFormat="false" ht="15" hidden="false" customHeight="false" outlineLevel="0" collapsed="false">
      <c r="A5" s="13" t="s">
        <v>35</v>
      </c>
      <c r="B5" s="13"/>
      <c r="C5" s="13" t="s">
        <v>120</v>
      </c>
      <c r="D5" s="13" t="s">
        <v>121</v>
      </c>
      <c r="E5" s="13" t="s">
        <v>30</v>
      </c>
      <c r="F5" s="13" t="s">
        <v>28</v>
      </c>
      <c r="G5" s="14" t="n">
        <v>89409</v>
      </c>
      <c r="H5" s="13" t="s">
        <v>20</v>
      </c>
      <c r="I5" s="15" t="n">
        <v>0.0014</v>
      </c>
      <c r="J5" s="16" t="n">
        <f aca="false">IFERROR(INDEX('Como ler'!$B$20:$B$24,MATCH(H5,'Como ler'!$A$20:$A$24,0)),"")</f>
        <v>0.015</v>
      </c>
      <c r="K5" s="17" t="n">
        <f aca="false">IF(OR(I5="",J5=""),"",I5/J5)</f>
        <v>0.0933333333333333</v>
      </c>
      <c r="L5" s="14" t="n">
        <v>264</v>
      </c>
      <c r="M5" s="18" t="n">
        <v>41.7</v>
      </c>
      <c r="N5" s="14" t="n">
        <v>1456</v>
      </c>
      <c r="O5" s="17" t="n">
        <f aca="false">IF(OR(N5="",G5=0),"",N5/G5)</f>
        <v>0.0162847140668165</v>
      </c>
      <c r="P5" s="19" t="n">
        <v>0.67</v>
      </c>
      <c r="Q5" s="20" t="n">
        <v>6.2</v>
      </c>
      <c r="R5" s="21" t="n">
        <v>46289</v>
      </c>
      <c r="S5" s="22" t="n">
        <f aca="false">IF(R5="","",'Como ler'!$B$27-R5)</f>
        <v>3</v>
      </c>
      <c r="T5" s="13" t="n">
        <v>0</v>
      </c>
      <c r="U5" s="13"/>
      <c r="V5" s="13" t="s">
        <v>52</v>
      </c>
      <c r="W5" s="13" t="s">
        <v>52</v>
      </c>
      <c r="X5" s="23" t="s">
        <v>94</v>
      </c>
      <c r="Y5" s="13" t="n">
        <f aca="false">ROUND(IF(K5="",0,MIN(40,40*K5/1.5))+IF(S5="",0,IF(S5&lt;=7,20,IF(S5&lt;=30,12,IF(S5&lt;=90,5,0))))+IF(Q5="",0,MIN(15,Q5*5))+IF(O5="",0,MIN(15,O5*30))+IF(E5="Criador(a)",10,IF(E5="Especialista que cria conteúdo",6,4)),0)</f>
        <v>48</v>
      </c>
      <c r="Z5" s="13" t="s">
        <v>105</v>
      </c>
      <c r="AA5" s="13" t="s">
        <v>113</v>
      </c>
      <c r="AB5" s="13" t="s">
        <v>113</v>
      </c>
      <c r="AC5" s="13"/>
      <c r="AD5" s="13" t="s">
        <v>122</v>
      </c>
      <c r="AE5" s="13" t="s">
        <v>123</v>
      </c>
      <c r="AF5" s="13" t="s">
        <v>124</v>
      </c>
      <c r="AG5" s="24" t="s">
        <v>125</v>
      </c>
      <c r="AH5" s="13" t="s">
        <v>100</v>
      </c>
      <c r="AI5" s="13"/>
    </row>
    <row r="6" customFormat="false" ht="15" hidden="false" customHeight="false" outlineLevel="0" collapsed="false">
      <c r="A6" s="13" t="s">
        <v>35</v>
      </c>
      <c r="B6" s="13"/>
      <c r="C6" s="13" t="s">
        <v>126</v>
      </c>
      <c r="D6" s="13" t="s">
        <v>127</v>
      </c>
      <c r="E6" s="13" t="s">
        <v>30</v>
      </c>
      <c r="F6" s="13" t="s">
        <v>29</v>
      </c>
      <c r="G6" s="14" t="n">
        <v>83440</v>
      </c>
      <c r="H6" s="13" t="s">
        <v>20</v>
      </c>
      <c r="I6" s="15" t="n">
        <v>0.0109</v>
      </c>
      <c r="J6" s="16" t="n">
        <f aca="false">IFERROR(INDEX('Como ler'!$B$20:$B$24,MATCH(H6,'Como ler'!$A$20:$A$24,0)),"")</f>
        <v>0.015</v>
      </c>
      <c r="K6" s="17" t="n">
        <f aca="false">IF(OR(I6="",J6=""),"",I6/J6)</f>
        <v>0.726666666666667</v>
      </c>
      <c r="L6" s="14" t="n">
        <v>1267</v>
      </c>
      <c r="M6" s="18" t="n">
        <v>140</v>
      </c>
      <c r="N6" s="14" t="n">
        <v>9851</v>
      </c>
      <c r="O6" s="17" t="n">
        <f aca="false">IF(OR(N6="",G6=0),"",N6/G6)</f>
        <v>0.118060882070949</v>
      </c>
      <c r="P6" s="19" t="n">
        <v>0.9</v>
      </c>
      <c r="Q6" s="20" t="n">
        <v>15.8</v>
      </c>
      <c r="R6" s="21" t="n">
        <v>46291</v>
      </c>
      <c r="S6" s="22" t="n">
        <f aca="false">IF(R6="","",'Como ler'!$B$27-R6)</f>
        <v>1</v>
      </c>
      <c r="T6" s="13" t="n">
        <v>0</v>
      </c>
      <c r="U6" s="13"/>
      <c r="V6" s="13" t="s">
        <v>49</v>
      </c>
      <c r="W6" s="13" t="s">
        <v>128</v>
      </c>
      <c r="X6" s="26" t="s">
        <v>129</v>
      </c>
      <c r="Y6" s="13" t="n">
        <f aca="false">ROUND(IF(K6="",0,MIN(40,40*K6/1.5))+IF(S6="",0,IF(S6&lt;=7,20,IF(S6&lt;=30,12,IF(S6&lt;=90,5,0))))+IF(Q6="",0,MIN(15,Q6*5))+IF(O6="",0,MIN(15,O6*30))+IF(E6="Criador(a)",10,IF(E6="Especialista que cria conteúdo",6,4)),0)</f>
        <v>68</v>
      </c>
      <c r="Z6" s="13"/>
      <c r="AA6" s="13"/>
      <c r="AB6" s="13"/>
      <c r="AC6" s="13" t="s">
        <v>130</v>
      </c>
      <c r="AD6" s="13" t="s">
        <v>131</v>
      </c>
      <c r="AE6" s="13" t="s">
        <v>132</v>
      </c>
      <c r="AF6" s="13" t="s">
        <v>133</v>
      </c>
      <c r="AG6" s="24" t="s">
        <v>134</v>
      </c>
      <c r="AH6" s="13" t="s">
        <v>100</v>
      </c>
      <c r="AI6" s="13"/>
    </row>
    <row r="7" customFormat="false" ht="15" hidden="false" customHeight="false" outlineLevel="0" collapsed="false">
      <c r="A7" s="13" t="s">
        <v>35</v>
      </c>
      <c r="B7" s="13"/>
      <c r="C7" s="13" t="s">
        <v>135</v>
      </c>
      <c r="D7" s="13" t="s">
        <v>136</v>
      </c>
      <c r="E7" s="13" t="s">
        <v>30</v>
      </c>
      <c r="F7" s="13" t="s">
        <v>28</v>
      </c>
      <c r="G7" s="14" t="n">
        <v>78728</v>
      </c>
      <c r="H7" s="13" t="s">
        <v>20</v>
      </c>
      <c r="I7" s="15" t="n">
        <v>0.0063</v>
      </c>
      <c r="J7" s="16" t="n">
        <f aca="false">IFERROR(INDEX('Como ler'!$B$20:$B$24,MATCH(H7,'Como ler'!$A$20:$A$24,0)),"")</f>
        <v>0.015</v>
      </c>
      <c r="K7" s="17" t="n">
        <f aca="false">IF(OR(I7="",J7=""),"",I7/J7)</f>
        <v>0.42</v>
      </c>
      <c r="L7" s="14" t="n">
        <v>543</v>
      </c>
      <c r="M7" s="18" t="n">
        <v>26.1</v>
      </c>
      <c r="N7" s="14" t="n">
        <v>5011</v>
      </c>
      <c r="O7" s="17" t="n">
        <f aca="false">IF(OR(N7="",G7=0),"",N7/G7)</f>
        <v>0.063649527487044</v>
      </c>
      <c r="P7" s="19" t="n">
        <v>0.9</v>
      </c>
      <c r="Q7" s="20" t="n">
        <v>15.8</v>
      </c>
      <c r="R7" s="21" t="n">
        <v>46292</v>
      </c>
      <c r="S7" s="22" t="n">
        <f aca="false">IF(R7="","",'Como ler'!$B$27-R7)</f>
        <v>0</v>
      </c>
      <c r="T7" s="13" t="n">
        <v>0</v>
      </c>
      <c r="U7" s="13"/>
      <c r="V7" s="13" t="s">
        <v>48</v>
      </c>
      <c r="W7" s="13" t="s">
        <v>137</v>
      </c>
      <c r="X7" s="26" t="s">
        <v>129</v>
      </c>
      <c r="Y7" s="13" t="n">
        <f aca="false">ROUND(IF(K7="",0,MIN(40,40*K7/1.5))+IF(S7="",0,IF(S7&lt;=7,20,IF(S7&lt;=30,12,IF(S7&lt;=90,5,0))))+IF(Q7="",0,MIN(15,Q7*5))+IF(O7="",0,MIN(15,O7*30))+IF(E7="Criador(a)",10,IF(E7="Especialista que cria conteúdo",6,4)),0)</f>
        <v>58</v>
      </c>
      <c r="Z7" s="13" t="s">
        <v>105</v>
      </c>
      <c r="AA7" s="13" t="s">
        <v>113</v>
      </c>
      <c r="AB7" s="13"/>
      <c r="AC7" s="13"/>
      <c r="AD7" s="13" t="s">
        <v>138</v>
      </c>
      <c r="AE7" s="13" t="s">
        <v>139</v>
      </c>
      <c r="AF7" s="13" t="s">
        <v>140</v>
      </c>
      <c r="AG7" s="24" t="s">
        <v>141</v>
      </c>
      <c r="AH7" s="13" t="s">
        <v>100</v>
      </c>
      <c r="AI7" s="13"/>
    </row>
    <row r="8" customFormat="false" ht="15" hidden="false" customHeight="false" outlineLevel="0" collapsed="false">
      <c r="A8" s="13" t="s">
        <v>35</v>
      </c>
      <c r="B8" s="13"/>
      <c r="C8" s="13" t="s">
        <v>142</v>
      </c>
      <c r="D8" s="13" t="s">
        <v>143</v>
      </c>
      <c r="E8" s="13" t="s">
        <v>30</v>
      </c>
      <c r="F8" s="13" t="s">
        <v>29</v>
      </c>
      <c r="G8" s="14" t="n">
        <v>76287</v>
      </c>
      <c r="H8" s="13" t="s">
        <v>20</v>
      </c>
      <c r="I8" s="15" t="n">
        <v>0.0016</v>
      </c>
      <c r="J8" s="16" t="n">
        <f aca="false">IFERROR(INDEX('Como ler'!$B$20:$B$24,MATCH(H8,'Como ler'!$A$20:$A$24,0)),"")</f>
        <v>0.015</v>
      </c>
      <c r="K8" s="17" t="n">
        <f aca="false">IF(OR(I8="",J8=""),"",I8/J8)</f>
        <v>0.106666666666667</v>
      </c>
      <c r="L8" s="14" t="n">
        <v>136</v>
      </c>
      <c r="M8" s="18" t="n">
        <v>16.4</v>
      </c>
      <c r="N8" s="14" t="n">
        <v>2219</v>
      </c>
      <c r="O8" s="17" t="n">
        <f aca="false">IF(OR(N8="",G8=0),"",N8/G8)</f>
        <v>0.0290875247420924</v>
      </c>
      <c r="P8" s="19" t="n">
        <v>0.9</v>
      </c>
      <c r="Q8" s="20" t="n">
        <v>21</v>
      </c>
      <c r="R8" s="21" t="n">
        <v>46292</v>
      </c>
      <c r="S8" s="22" t="n">
        <f aca="false">IF(R8="","",'Como ler'!$B$27-R8)</f>
        <v>0</v>
      </c>
      <c r="T8" s="13" t="n">
        <v>0</v>
      </c>
      <c r="U8" s="13"/>
      <c r="V8" s="13" t="s">
        <v>48</v>
      </c>
      <c r="W8" s="13" t="s">
        <v>144</v>
      </c>
      <c r="X8" s="23" t="s">
        <v>94</v>
      </c>
      <c r="Y8" s="13" t="n">
        <f aca="false">ROUND(IF(K8="",0,MIN(40,40*K8/1.5))+IF(S8="",0,IF(S8&lt;=7,20,IF(S8&lt;=30,12,IF(S8&lt;=90,5,0))))+IF(Q8="",0,MIN(15,Q8*5))+IF(O8="",0,MIN(15,O8*30))+IF(E8="Criador(a)",10,IF(E8="Especialista que cria conteúdo",6,4)),0)</f>
        <v>49</v>
      </c>
      <c r="Z8" s="13" t="s">
        <v>105</v>
      </c>
      <c r="AA8" s="13" t="s">
        <v>113</v>
      </c>
      <c r="AB8" s="13"/>
      <c r="AC8" s="13"/>
      <c r="AD8" s="13" t="s">
        <v>138</v>
      </c>
      <c r="AE8" s="13" t="s">
        <v>145</v>
      </c>
      <c r="AF8" s="13" t="s">
        <v>146</v>
      </c>
      <c r="AG8" s="24" t="s">
        <v>147</v>
      </c>
      <c r="AH8" s="13" t="s">
        <v>100</v>
      </c>
      <c r="AI8" s="13"/>
    </row>
    <row r="9" customFormat="false" ht="15" hidden="false" customHeight="false" outlineLevel="0" collapsed="false">
      <c r="A9" s="13" t="s">
        <v>35</v>
      </c>
      <c r="B9" s="13"/>
      <c r="C9" s="13" t="s">
        <v>148</v>
      </c>
      <c r="D9" s="13" t="s">
        <v>149</v>
      </c>
      <c r="E9" s="13" t="s">
        <v>30</v>
      </c>
      <c r="F9" s="13" t="s">
        <v>29</v>
      </c>
      <c r="G9" s="14" t="n">
        <v>69075</v>
      </c>
      <c r="H9" s="13" t="s">
        <v>20</v>
      </c>
      <c r="I9" s="15" t="n">
        <v>0.0037</v>
      </c>
      <c r="J9" s="16" t="n">
        <f aca="false">IFERROR(INDEX('Como ler'!$B$20:$B$24,MATCH(H9,'Como ler'!$A$20:$A$24,0)),"")</f>
        <v>0.015</v>
      </c>
      <c r="K9" s="17" t="n">
        <f aca="false">IF(OR(I9="",J9=""),"",I9/J9)</f>
        <v>0.246666666666667</v>
      </c>
      <c r="L9" s="14" t="n">
        <v>430</v>
      </c>
      <c r="M9" s="18" t="n">
        <v>51.8</v>
      </c>
      <c r="N9" s="14" t="n">
        <v>4448</v>
      </c>
      <c r="O9" s="17" t="n">
        <f aca="false">IF(OR(N9="",G9=0),"",N9/G9)</f>
        <v>0.0643937748823742</v>
      </c>
      <c r="P9" s="19" t="n">
        <v>0.83</v>
      </c>
      <c r="Q9" s="20" t="n">
        <v>77</v>
      </c>
      <c r="R9" s="21" t="n">
        <v>46291</v>
      </c>
      <c r="S9" s="22" t="n">
        <f aca="false">IF(R9="","",'Como ler'!$B$27-R9)</f>
        <v>1</v>
      </c>
      <c r="T9" s="13" t="n">
        <v>0</v>
      </c>
      <c r="U9" s="13"/>
      <c r="V9" s="13" t="s">
        <v>52</v>
      </c>
      <c r="W9" s="13" t="s">
        <v>150</v>
      </c>
      <c r="X9" s="23" t="s">
        <v>94</v>
      </c>
      <c r="Y9" s="13" t="n">
        <f aca="false">ROUND(IF(K9="",0,MIN(40,40*K9/1.5))+IF(S9="",0,IF(S9&lt;=7,20,IF(S9&lt;=30,12,IF(S9&lt;=90,5,0))))+IF(Q9="",0,MIN(15,Q9*5))+IF(O9="",0,MIN(15,O9*30))+IF(E9="Criador(a)",10,IF(E9="Especialista que cria conteúdo",6,4)),0)</f>
        <v>54</v>
      </c>
      <c r="Z9" s="13" t="s">
        <v>105</v>
      </c>
      <c r="AA9" s="13"/>
      <c r="AB9" s="13"/>
      <c r="AC9" s="13"/>
      <c r="AD9" s="13" t="s">
        <v>151</v>
      </c>
      <c r="AE9" s="13" t="s">
        <v>152</v>
      </c>
      <c r="AF9" s="13" t="s">
        <v>153</v>
      </c>
      <c r="AG9" s="24" t="s">
        <v>154</v>
      </c>
      <c r="AH9" s="13" t="s">
        <v>100</v>
      </c>
      <c r="AI9" s="13"/>
    </row>
    <row r="10" customFormat="false" ht="15" hidden="false" customHeight="false" outlineLevel="0" collapsed="false">
      <c r="A10" s="13" t="s">
        <v>35</v>
      </c>
      <c r="B10" s="13" t="s">
        <v>36</v>
      </c>
      <c r="C10" s="13" t="s">
        <v>155</v>
      </c>
      <c r="D10" s="13" t="s">
        <v>156</v>
      </c>
      <c r="E10" s="13" t="s">
        <v>157</v>
      </c>
      <c r="F10" s="13" t="s">
        <v>28</v>
      </c>
      <c r="G10" s="14" t="n">
        <v>65364</v>
      </c>
      <c r="H10" s="13" t="s">
        <v>20</v>
      </c>
      <c r="I10" s="15" t="n">
        <v>0.0039</v>
      </c>
      <c r="J10" s="16" t="n">
        <f aca="false">IFERROR(INDEX('Como ler'!$B$20:$B$24,MATCH(H10,'Como ler'!$A$20:$A$24,0)),"")</f>
        <v>0.015</v>
      </c>
      <c r="K10" s="17" t="n">
        <f aca="false">IF(OR(I10="",J10=""),"",I10/J10)</f>
        <v>0.26</v>
      </c>
      <c r="L10" s="14" t="n">
        <v>339</v>
      </c>
      <c r="M10" s="18" t="n">
        <v>7.1</v>
      </c>
      <c r="N10" s="14" t="n">
        <v>5204</v>
      </c>
      <c r="O10" s="17" t="n">
        <f aca="false">IF(OR(N10="",G10=0),"",N10/G10)</f>
        <v>0.0796156905942109</v>
      </c>
      <c r="P10" s="19" t="n">
        <v>0.7</v>
      </c>
      <c r="Q10" s="20" t="n">
        <v>2.1</v>
      </c>
      <c r="R10" s="21" t="n">
        <v>46291</v>
      </c>
      <c r="S10" s="22" t="n">
        <f aca="false">IF(R10="","",'Como ler'!$B$27-R10)</f>
        <v>1</v>
      </c>
      <c r="T10" s="13" t="n">
        <v>0</v>
      </c>
      <c r="U10" s="13"/>
      <c r="V10" s="13" t="s">
        <v>47</v>
      </c>
      <c r="W10" s="13" t="s">
        <v>158</v>
      </c>
      <c r="X10" s="23" t="s">
        <v>94</v>
      </c>
      <c r="Y10" s="13" t="n">
        <f aca="false">ROUND(IF(K10="",0,MIN(40,40*K10/1.5))+IF(S10="",0,IF(S10&lt;=7,20,IF(S10&lt;=30,12,IF(S10&lt;=90,5,0))))+IF(Q10="",0,MIN(15,Q10*5))+IF(O10="",0,MIN(15,O10*30))+IF(E10="Criador(a)",10,IF(E10="Especialista que cria conteúdo",6,4)),0)</f>
        <v>46</v>
      </c>
      <c r="Z10" s="13" t="s">
        <v>159</v>
      </c>
      <c r="AA10" s="13" t="s">
        <v>113</v>
      </c>
      <c r="AB10" s="13" t="s">
        <v>113</v>
      </c>
      <c r="AC10" s="13"/>
      <c r="AD10" s="13" t="s">
        <v>160</v>
      </c>
      <c r="AE10" s="13" t="s">
        <v>161</v>
      </c>
      <c r="AF10" s="13" t="s">
        <v>162</v>
      </c>
      <c r="AG10" s="24" t="s">
        <v>163</v>
      </c>
      <c r="AH10" s="13" t="s">
        <v>100</v>
      </c>
      <c r="AI10" s="13"/>
    </row>
    <row r="11" customFormat="false" ht="15" hidden="false" customHeight="false" outlineLevel="0" collapsed="false">
      <c r="A11" s="13" t="s">
        <v>35</v>
      </c>
      <c r="B11" s="13"/>
      <c r="C11" s="13" t="s">
        <v>164</v>
      </c>
      <c r="D11" s="13" t="s">
        <v>165</v>
      </c>
      <c r="E11" s="13" t="s">
        <v>157</v>
      </c>
      <c r="F11" s="13" t="s">
        <v>28</v>
      </c>
      <c r="G11" s="14" t="n">
        <v>52669</v>
      </c>
      <c r="H11" s="13" t="s">
        <v>20</v>
      </c>
      <c r="I11" s="15" t="n">
        <v>0.002</v>
      </c>
      <c r="J11" s="16" t="n">
        <f aca="false">IFERROR(INDEX('Como ler'!$B$20:$B$24,MATCH(H11,'Como ler'!$A$20:$A$24,0)),"")</f>
        <v>0.015</v>
      </c>
      <c r="K11" s="17" t="n">
        <f aca="false">IF(OR(I11="",J11=""),"",I11/J11)</f>
        <v>0.133333333333333</v>
      </c>
      <c r="L11" s="14" t="n">
        <v>92</v>
      </c>
      <c r="M11" s="18" t="n">
        <v>7.3</v>
      </c>
      <c r="N11" s="14" t="n">
        <v>1675</v>
      </c>
      <c r="O11" s="17" t="n">
        <f aca="false">IF(OR(N11="",G11=0),"",N11/G11)</f>
        <v>0.0318023885017752</v>
      </c>
      <c r="P11" s="19" t="n">
        <v>0.27</v>
      </c>
      <c r="Q11" s="20" t="n">
        <v>5</v>
      </c>
      <c r="R11" s="21" t="n">
        <v>46286</v>
      </c>
      <c r="S11" s="22" t="n">
        <f aca="false">IF(R11="","",'Como ler'!$B$27-R11)</f>
        <v>6</v>
      </c>
      <c r="T11" s="13" t="n">
        <v>0</v>
      </c>
      <c r="U11" s="13"/>
      <c r="V11" s="13" t="s">
        <v>54</v>
      </c>
      <c r="W11" s="13" t="s">
        <v>166</v>
      </c>
      <c r="X11" s="26" t="s">
        <v>129</v>
      </c>
      <c r="Y11" s="13" t="n">
        <f aca="false">ROUND(IF(K11="",0,MIN(40,40*K11/1.5))+IF(S11="",0,IF(S11&lt;=7,20,IF(S11&lt;=30,12,IF(S11&lt;=90,5,0))))+IF(Q11="",0,MIN(15,Q11*5))+IF(O11="",0,MIN(15,O11*30))+IF(E11="Criador(a)",10,IF(E11="Especialista que cria conteúdo",6,4)),0)</f>
        <v>46</v>
      </c>
      <c r="Z11" s="13" t="s">
        <v>105</v>
      </c>
      <c r="AA11" s="13"/>
      <c r="AB11" s="13"/>
      <c r="AC11" s="13"/>
      <c r="AD11" s="13" t="s">
        <v>106</v>
      </c>
      <c r="AE11" s="13" t="s">
        <v>167</v>
      </c>
      <c r="AF11" s="13" t="s">
        <v>168</v>
      </c>
      <c r="AG11" s="24" t="s">
        <v>169</v>
      </c>
      <c r="AH11" s="13" t="s">
        <v>100</v>
      </c>
      <c r="AI11" s="13"/>
    </row>
    <row r="12" customFormat="false" ht="15" hidden="false" customHeight="false" outlineLevel="0" collapsed="false">
      <c r="A12" s="13" t="s">
        <v>35</v>
      </c>
      <c r="B12" s="13" t="s">
        <v>36</v>
      </c>
      <c r="C12" s="13" t="s">
        <v>170</v>
      </c>
      <c r="D12" s="13" t="s">
        <v>171</v>
      </c>
      <c r="E12" s="13" t="s">
        <v>30</v>
      </c>
      <c r="F12" s="13" t="s">
        <v>28</v>
      </c>
      <c r="G12" s="14" t="n">
        <v>48271</v>
      </c>
      <c r="H12" s="13" t="s">
        <v>20</v>
      </c>
      <c r="I12" s="15" t="n">
        <v>0.0009</v>
      </c>
      <c r="J12" s="16" t="n">
        <f aca="false">IFERROR(INDEX('Como ler'!$B$20:$B$24,MATCH(H12,'Como ler'!$A$20:$A$24,0)),"")</f>
        <v>0.015</v>
      </c>
      <c r="K12" s="17" t="n">
        <f aca="false">IF(OR(I12="",J12=""),"",I12/J12)</f>
        <v>0.06</v>
      </c>
      <c r="L12" s="14" t="n">
        <v>37</v>
      </c>
      <c r="M12" s="18" t="n">
        <v>7</v>
      </c>
      <c r="N12" s="14" t="n">
        <v>286</v>
      </c>
      <c r="O12" s="17" t="n">
        <f aca="false">IF(OR(N12="",G12=0),"",N12/G12)</f>
        <v>0.00592488243458806</v>
      </c>
      <c r="P12" s="19" t="n">
        <v>0.56</v>
      </c>
      <c r="Q12" s="20" t="n">
        <v>0.8</v>
      </c>
      <c r="R12" s="21" t="n">
        <v>46292</v>
      </c>
      <c r="S12" s="22" t="n">
        <f aca="false">IF(R12="","",'Como ler'!$B$27-R12)</f>
        <v>0</v>
      </c>
      <c r="T12" s="13" t="n">
        <v>0</v>
      </c>
      <c r="U12" s="13"/>
      <c r="V12" s="13" t="s">
        <v>46</v>
      </c>
      <c r="W12" s="13" t="s">
        <v>172</v>
      </c>
      <c r="X12" s="23" t="s">
        <v>94</v>
      </c>
      <c r="Y12" s="13" t="n">
        <f aca="false">ROUND(IF(K12="",0,MIN(40,40*K12/1.5))+IF(S12="",0,IF(S12&lt;=7,20,IF(S12&lt;=30,12,IF(S12&lt;=90,5,0))))+IF(Q12="",0,MIN(15,Q12*5))+IF(O12="",0,MIN(15,O12*30))+IF(E12="Criador(a)",10,IF(E12="Especialista que cria conteúdo",6,4)),0)</f>
        <v>36</v>
      </c>
      <c r="Z12" s="13" t="s">
        <v>105</v>
      </c>
      <c r="AA12" s="13"/>
      <c r="AB12" s="13" t="s">
        <v>113</v>
      </c>
      <c r="AC12" s="13"/>
      <c r="AD12" s="13" t="s">
        <v>173</v>
      </c>
      <c r="AE12" s="13" t="s">
        <v>174</v>
      </c>
      <c r="AF12" s="13" t="s">
        <v>175</v>
      </c>
      <c r="AG12" s="24" t="s">
        <v>176</v>
      </c>
      <c r="AH12" s="13" t="s">
        <v>100</v>
      </c>
      <c r="AI12" s="13"/>
    </row>
    <row r="13" customFormat="false" ht="15" hidden="false" customHeight="false" outlineLevel="0" collapsed="false">
      <c r="A13" s="13" t="s">
        <v>35</v>
      </c>
      <c r="B13" s="13"/>
      <c r="C13" s="13" t="s">
        <v>177</v>
      </c>
      <c r="D13" s="13" t="s">
        <v>178</v>
      </c>
      <c r="E13" s="13" t="s">
        <v>30</v>
      </c>
      <c r="F13" s="13" t="s">
        <v>28</v>
      </c>
      <c r="G13" s="14" t="n">
        <v>42854</v>
      </c>
      <c r="H13" s="13" t="s">
        <v>20</v>
      </c>
      <c r="I13" s="15" t="n">
        <v>0.0101</v>
      </c>
      <c r="J13" s="16" t="n">
        <f aca="false">IFERROR(INDEX('Como ler'!$B$20:$B$24,MATCH(H13,'Como ler'!$A$20:$A$24,0)),"")</f>
        <v>0.015</v>
      </c>
      <c r="K13" s="17" t="n">
        <f aca="false">IF(OR(I13="",J13=""),"",I13/J13)</f>
        <v>0.673333333333333</v>
      </c>
      <c r="L13" s="14" t="n">
        <v>769</v>
      </c>
      <c r="M13" s="18" t="n">
        <v>80.4</v>
      </c>
      <c r="N13" s="14" t="n">
        <v>3651</v>
      </c>
      <c r="O13" s="17" t="n">
        <f aca="false">IF(OR(N13="",G13=0),"",N13/G13)</f>
        <v>0.0851962477248332</v>
      </c>
      <c r="P13" s="19" t="n">
        <v>1</v>
      </c>
      <c r="Q13" s="20" t="n">
        <v>6.4</v>
      </c>
      <c r="R13" s="21" t="n">
        <v>46288</v>
      </c>
      <c r="S13" s="22" t="n">
        <f aca="false">IF(R13="","",'Como ler'!$B$27-R13)</f>
        <v>4</v>
      </c>
      <c r="T13" s="13" t="n">
        <v>1</v>
      </c>
      <c r="U13" s="13" t="s">
        <v>179</v>
      </c>
      <c r="V13" s="13" t="s">
        <v>45</v>
      </c>
      <c r="W13" s="13" t="s">
        <v>180</v>
      </c>
      <c r="X13" s="26" t="s">
        <v>129</v>
      </c>
      <c r="Y13" s="13" t="n">
        <f aca="false">ROUND(IF(K13="",0,MIN(40,40*K13/1.5))+IF(S13="",0,IF(S13&lt;=7,20,IF(S13&lt;=30,12,IF(S13&lt;=90,5,0))))+IF(Q13="",0,MIN(15,Q13*5))+IF(O13="",0,MIN(15,O13*30))+IF(E13="Criador(a)",10,IF(E13="Especialista que cria conteúdo",6,4)),0)</f>
        <v>66</v>
      </c>
      <c r="Z13" s="13"/>
      <c r="AA13" s="13"/>
      <c r="AB13" s="13"/>
      <c r="AC13" s="13" t="s">
        <v>181</v>
      </c>
      <c r="AD13" s="13" t="s">
        <v>182</v>
      </c>
      <c r="AE13" s="13" t="s">
        <v>183</v>
      </c>
      <c r="AF13" s="13" t="s">
        <v>184</v>
      </c>
      <c r="AG13" s="24" t="s">
        <v>185</v>
      </c>
      <c r="AH13" s="13" t="s">
        <v>100</v>
      </c>
      <c r="AI13" s="13"/>
    </row>
    <row r="14" customFormat="false" ht="15" hidden="false" customHeight="false" outlineLevel="0" collapsed="false">
      <c r="A14" s="13" t="s">
        <v>35</v>
      </c>
      <c r="B14" s="13" t="s">
        <v>38</v>
      </c>
      <c r="C14" s="13" t="s">
        <v>186</v>
      </c>
      <c r="D14" s="13" t="s">
        <v>187</v>
      </c>
      <c r="E14" s="13" t="s">
        <v>30</v>
      </c>
      <c r="F14" s="13" t="s">
        <v>29</v>
      </c>
      <c r="G14" s="14" t="n">
        <v>27951</v>
      </c>
      <c r="H14" s="13" t="s">
        <v>19</v>
      </c>
      <c r="I14" s="15" t="n">
        <v>0.0096</v>
      </c>
      <c r="J14" s="16" t="n">
        <f aca="false">IFERROR(INDEX('Como ler'!$B$20:$B$24,MATCH(H14,'Como ler'!$A$20:$A$24,0)),"")</f>
        <v>0.025</v>
      </c>
      <c r="K14" s="17" t="n">
        <f aca="false">IF(OR(I14="",J14=""),"",I14/J14)</f>
        <v>0.384</v>
      </c>
      <c r="L14" s="14" t="n">
        <v>200</v>
      </c>
      <c r="M14" s="18" t="n">
        <v>38.7</v>
      </c>
      <c r="N14" s="14" t="n">
        <v>2117</v>
      </c>
      <c r="O14" s="17" t="n">
        <f aca="false">IF(OR(N14="",G14=0),"",N14/G14)</f>
        <v>0.0757396873099352</v>
      </c>
      <c r="P14" s="19" t="n">
        <v>0.9</v>
      </c>
      <c r="Q14" s="20" t="n">
        <v>1.4</v>
      </c>
      <c r="R14" s="21" t="n">
        <v>46291</v>
      </c>
      <c r="S14" s="22" t="n">
        <f aca="false">IF(R14="","",'Como ler'!$B$27-R14)</f>
        <v>1</v>
      </c>
      <c r="T14" s="13" t="n">
        <v>0</v>
      </c>
      <c r="U14" s="13"/>
      <c r="V14" s="13" t="s">
        <v>54</v>
      </c>
      <c r="W14" s="13" t="s">
        <v>54</v>
      </c>
      <c r="X14" s="25" t="s">
        <v>104</v>
      </c>
      <c r="Y14" s="13" t="n">
        <f aca="false">ROUND(IF(K14="",0,MIN(40,40*K14/1.5))+IF(S14="",0,IF(S14&lt;=7,20,IF(S14&lt;=30,12,IF(S14&lt;=90,5,0))))+IF(Q14="",0,MIN(15,Q14*5))+IF(O14="",0,MIN(15,O14*30))+IF(E14="Criador(a)",10,IF(E14="Especialista que cria conteúdo",6,4)),0)</f>
        <v>50</v>
      </c>
      <c r="Z14" s="13"/>
      <c r="AA14" s="13"/>
      <c r="AB14" s="13"/>
      <c r="AC14" s="13"/>
      <c r="AD14" s="13" t="s">
        <v>188</v>
      </c>
      <c r="AE14" s="13" t="s">
        <v>189</v>
      </c>
      <c r="AF14" s="13" t="s">
        <v>190</v>
      </c>
      <c r="AG14" s="24" t="s">
        <v>191</v>
      </c>
      <c r="AH14" s="13" t="s">
        <v>100</v>
      </c>
      <c r="AI14" s="13"/>
    </row>
    <row r="15" customFormat="false" ht="15" hidden="false" customHeight="false" outlineLevel="0" collapsed="false">
      <c r="A15" s="13" t="s">
        <v>35</v>
      </c>
      <c r="B15" s="13"/>
      <c r="C15" s="13" t="s">
        <v>192</v>
      </c>
      <c r="D15" s="13" t="s">
        <v>193</v>
      </c>
      <c r="E15" s="13" t="s">
        <v>30</v>
      </c>
      <c r="F15" s="13" t="s">
        <v>29</v>
      </c>
      <c r="G15" s="14" t="n">
        <v>25575</v>
      </c>
      <c r="H15" s="13" t="s">
        <v>19</v>
      </c>
      <c r="I15" s="15" t="n">
        <v>0.0076</v>
      </c>
      <c r="J15" s="16" t="n">
        <f aca="false">IFERROR(INDEX('Como ler'!$B$20:$B$24,MATCH(H15,'Como ler'!$A$20:$A$24,0)),"")</f>
        <v>0.025</v>
      </c>
      <c r="K15" s="17" t="n">
        <f aca="false">IF(OR(I15="",J15=""),"",I15/J15)</f>
        <v>0.304</v>
      </c>
      <c r="L15" s="14" t="n">
        <v>869</v>
      </c>
      <c r="M15" s="18" t="n">
        <v>2.4</v>
      </c>
      <c r="N15" s="14" t="n">
        <v>3882</v>
      </c>
      <c r="O15" s="17" t="n">
        <f aca="false">IF(OR(N15="",G15=0),"",N15/G15)</f>
        <v>0.151788856304985</v>
      </c>
      <c r="P15" s="19" t="n">
        <v>0.92</v>
      </c>
      <c r="Q15" s="20" t="n">
        <v>4.8</v>
      </c>
      <c r="R15" s="21" t="n">
        <v>46292</v>
      </c>
      <c r="S15" s="22" t="n">
        <f aca="false">IF(R15="","",'Como ler'!$B$27-R15)</f>
        <v>0</v>
      </c>
      <c r="T15" s="13" t="n">
        <v>0</v>
      </c>
      <c r="U15" s="13"/>
      <c r="V15" s="13" t="s">
        <v>42</v>
      </c>
      <c r="W15" s="13" t="s">
        <v>194</v>
      </c>
      <c r="X15" s="26" t="s">
        <v>129</v>
      </c>
      <c r="Y15" s="13" t="n">
        <f aca="false">ROUND(IF(K15="",0,MIN(40,40*K15/1.5))+IF(S15="",0,IF(S15&lt;=7,20,IF(S15&lt;=30,12,IF(S15&lt;=90,5,0))))+IF(Q15="",0,MIN(15,Q15*5))+IF(O15="",0,MIN(15,O15*30))+IF(E15="Criador(a)",10,IF(E15="Especialista que cria conteúdo",6,4)),0)</f>
        <v>58</v>
      </c>
      <c r="Z15" s="13"/>
      <c r="AA15" s="13"/>
      <c r="AB15" s="13"/>
      <c r="AC15" s="13"/>
      <c r="AD15" s="13" t="s">
        <v>115</v>
      </c>
      <c r="AE15" s="13" t="s">
        <v>195</v>
      </c>
      <c r="AF15" s="13" t="s">
        <v>196</v>
      </c>
      <c r="AG15" s="24" t="s">
        <v>197</v>
      </c>
      <c r="AH15" s="13" t="s">
        <v>100</v>
      </c>
      <c r="AI15" s="13"/>
    </row>
    <row r="16" customFormat="false" ht="15" hidden="false" customHeight="false" outlineLevel="0" collapsed="false">
      <c r="A16" s="13" t="s">
        <v>35</v>
      </c>
      <c r="B16" s="13" t="s">
        <v>36</v>
      </c>
      <c r="C16" s="13" t="s">
        <v>198</v>
      </c>
      <c r="D16" s="13" t="s">
        <v>199</v>
      </c>
      <c r="E16" s="13" t="s">
        <v>200</v>
      </c>
      <c r="F16" s="13" t="s">
        <v>201</v>
      </c>
      <c r="G16" s="14" t="n">
        <v>20687</v>
      </c>
      <c r="H16" s="13" t="s">
        <v>19</v>
      </c>
      <c r="I16" s="15" t="n">
        <v>0.0019</v>
      </c>
      <c r="J16" s="16" t="n">
        <f aca="false">IFERROR(INDEX('Como ler'!$B$20:$B$24,MATCH(H16,'Como ler'!$A$20:$A$24,0)),"")</f>
        <v>0.025</v>
      </c>
      <c r="K16" s="17" t="n">
        <f aca="false">IF(OR(I16="",J16=""),"",I16/J16)</f>
        <v>0.076</v>
      </c>
      <c r="L16" s="14" t="n">
        <v>40</v>
      </c>
      <c r="M16" s="18" t="n">
        <v>7.8</v>
      </c>
      <c r="N16" s="14" t="n">
        <v>867</v>
      </c>
      <c r="O16" s="17" t="n">
        <f aca="false">IF(OR(N16="",G16=0),"",N16/G16)</f>
        <v>0.041910378498574</v>
      </c>
      <c r="P16" s="19" t="n">
        <v>1</v>
      </c>
      <c r="Q16" s="20" t="n">
        <v>2.4</v>
      </c>
      <c r="R16" s="21" t="n">
        <v>45935</v>
      </c>
      <c r="S16" s="22" t="n">
        <f aca="false">IF(R16="","",'Como ler'!$B$27-R16)</f>
        <v>357</v>
      </c>
      <c r="T16" s="13" t="n">
        <v>0</v>
      </c>
      <c r="U16" s="13"/>
      <c r="V16" s="13" t="s">
        <v>48</v>
      </c>
      <c r="W16" s="13" t="s">
        <v>202</v>
      </c>
      <c r="X16" s="23" t="s">
        <v>94</v>
      </c>
      <c r="Y16" s="13" t="n">
        <f aca="false">ROUND(IF(K16="",0,MIN(40,40*K16/1.5))+IF(S16="",0,IF(S16&lt;=7,20,IF(S16&lt;=30,12,IF(S16&lt;=90,5,0))))+IF(Q16="",0,MIN(15,Q16*5))+IF(O16="",0,MIN(15,O16*30))+IF(E16="Criador(a)",10,IF(E16="Especialista que cria conteúdo",6,4)),0)</f>
        <v>19</v>
      </c>
      <c r="Z16" s="13" t="s">
        <v>159</v>
      </c>
      <c r="AA16" s="13"/>
      <c r="AB16" s="13" t="s">
        <v>113</v>
      </c>
      <c r="AC16" s="13"/>
      <c r="AD16" s="13" t="s">
        <v>203</v>
      </c>
      <c r="AE16" s="13"/>
      <c r="AF16" s="13" t="s">
        <v>204</v>
      </c>
      <c r="AG16" s="24" t="s">
        <v>205</v>
      </c>
      <c r="AH16" s="13" t="s">
        <v>100</v>
      </c>
      <c r="AI16" s="13"/>
    </row>
    <row r="17" customFormat="false" ht="15" hidden="false" customHeight="false" outlineLevel="0" collapsed="false">
      <c r="A17" s="13" t="s">
        <v>35</v>
      </c>
      <c r="B17" s="13" t="s">
        <v>36</v>
      </c>
      <c r="C17" s="13" t="s">
        <v>206</v>
      </c>
      <c r="D17" s="13" t="s">
        <v>207</v>
      </c>
      <c r="E17" s="13" t="s">
        <v>30</v>
      </c>
      <c r="F17" s="13" t="s">
        <v>28</v>
      </c>
      <c r="G17" s="14" t="n">
        <v>20124</v>
      </c>
      <c r="H17" s="13" t="s">
        <v>19</v>
      </c>
      <c r="I17" s="15" t="n">
        <v>0.0049</v>
      </c>
      <c r="J17" s="16" t="n">
        <f aca="false">IFERROR(INDEX('Como ler'!$B$20:$B$24,MATCH(H17,'Como ler'!$A$20:$A$24,0)),"")</f>
        <v>0.025</v>
      </c>
      <c r="K17" s="17" t="n">
        <f aca="false">IF(OR(I17="",J17=""),"",I17/J17)</f>
        <v>0.196</v>
      </c>
      <c r="L17" s="14" t="n">
        <v>80</v>
      </c>
      <c r="M17" s="18" t="n">
        <v>32.9</v>
      </c>
      <c r="N17" s="14" t="n">
        <v>845</v>
      </c>
      <c r="O17" s="17" t="n">
        <f aca="false">IF(OR(N17="",G17=0),"",N17/G17)</f>
        <v>0.0419896640826873</v>
      </c>
      <c r="P17" s="19" t="n">
        <v>0.89</v>
      </c>
      <c r="Q17" s="20" t="n">
        <v>5.1</v>
      </c>
      <c r="R17" s="21" t="n">
        <v>46292</v>
      </c>
      <c r="S17" s="22" t="n">
        <f aca="false">IF(R17="","",'Como ler'!$B$27-R17)</f>
        <v>0</v>
      </c>
      <c r="T17" s="13" t="n">
        <v>0</v>
      </c>
      <c r="U17" s="13"/>
      <c r="V17" s="13" t="s">
        <v>45</v>
      </c>
      <c r="W17" s="13" t="s">
        <v>208</v>
      </c>
      <c r="X17" s="26" t="s">
        <v>129</v>
      </c>
      <c r="Y17" s="13" t="n">
        <f aca="false">ROUND(IF(K17="",0,MIN(40,40*K17/1.5))+IF(S17="",0,IF(S17&lt;=7,20,IF(S17&lt;=30,12,IF(S17&lt;=90,5,0))))+IF(Q17="",0,MIN(15,Q17*5))+IF(O17="",0,MIN(15,O17*30))+IF(E17="Criador(a)",10,IF(E17="Especialista que cria conteúdo",6,4)),0)</f>
        <v>51</v>
      </c>
      <c r="Z17" s="13"/>
      <c r="AA17" s="13" t="s">
        <v>113</v>
      </c>
      <c r="AB17" s="13"/>
      <c r="AC17" s="13" t="s">
        <v>181</v>
      </c>
      <c r="AD17" s="13" t="s">
        <v>209</v>
      </c>
      <c r="AE17" s="13" t="s">
        <v>210</v>
      </c>
      <c r="AF17" s="13" t="s">
        <v>211</v>
      </c>
      <c r="AG17" s="24" t="s">
        <v>212</v>
      </c>
      <c r="AH17" s="13" t="s">
        <v>100</v>
      </c>
      <c r="AI17" s="13"/>
    </row>
    <row r="18" customFormat="false" ht="15" hidden="false" customHeight="false" outlineLevel="0" collapsed="false">
      <c r="A18" s="13" t="s">
        <v>35</v>
      </c>
      <c r="B18" s="13"/>
      <c r="C18" s="13" t="s">
        <v>213</v>
      </c>
      <c r="D18" s="13" t="s">
        <v>214</v>
      </c>
      <c r="E18" s="13" t="s">
        <v>30</v>
      </c>
      <c r="F18" s="13" t="s">
        <v>28</v>
      </c>
      <c r="G18" s="14" t="n">
        <v>17162</v>
      </c>
      <c r="H18" s="13" t="s">
        <v>19</v>
      </c>
      <c r="I18" s="15" t="n">
        <v>0.0044</v>
      </c>
      <c r="J18" s="16" t="n">
        <f aca="false">IFERROR(INDEX('Como ler'!$B$20:$B$24,MATCH(H18,'Como ler'!$A$20:$A$24,0)),"")</f>
        <v>0.025</v>
      </c>
      <c r="K18" s="17" t="n">
        <f aca="false">IF(OR(I18="",J18=""),"",I18/J18)</f>
        <v>0.176</v>
      </c>
      <c r="L18" s="14" t="n">
        <v>102</v>
      </c>
      <c r="M18" s="18" t="n">
        <v>9.9</v>
      </c>
      <c r="N18" s="14" t="n">
        <v>581</v>
      </c>
      <c r="O18" s="17" t="n">
        <f aca="false">IF(OR(N18="",G18=0),"",N18/G18)</f>
        <v>0.0338538631861089</v>
      </c>
      <c r="P18" s="19" t="n">
        <v>0.67</v>
      </c>
      <c r="Q18" s="20" t="n">
        <v>1.8</v>
      </c>
      <c r="R18" s="21" t="n">
        <v>46291</v>
      </c>
      <c r="S18" s="22" t="n">
        <f aca="false">IF(R18="","",'Como ler'!$B$27-R18)</f>
        <v>1</v>
      </c>
      <c r="T18" s="13" t="n">
        <v>0</v>
      </c>
      <c r="U18" s="13"/>
      <c r="V18" s="13" t="s">
        <v>43</v>
      </c>
      <c r="W18" s="13" t="s">
        <v>215</v>
      </c>
      <c r="X18" s="23" t="s">
        <v>94</v>
      </c>
      <c r="Y18" s="13" t="n">
        <f aca="false">ROUND(IF(K18="",0,MIN(40,40*K18/1.5))+IF(S18="",0,IF(S18&lt;=7,20,IF(S18&lt;=30,12,IF(S18&lt;=90,5,0))))+IF(Q18="",0,MIN(15,Q18*5))+IF(O18="",0,MIN(15,O18*30))+IF(E18="Criador(a)",10,IF(E18="Especialista que cria conteúdo",6,4)),0)</f>
        <v>45</v>
      </c>
      <c r="Z18" s="13" t="s">
        <v>216</v>
      </c>
      <c r="AA18" s="13"/>
      <c r="AB18" s="13" t="s">
        <v>113</v>
      </c>
      <c r="AC18" s="13"/>
      <c r="AD18" s="13" t="s">
        <v>217</v>
      </c>
      <c r="AE18" s="13" t="s">
        <v>218</v>
      </c>
      <c r="AF18" s="13" t="s">
        <v>219</v>
      </c>
      <c r="AG18" s="24" t="s">
        <v>220</v>
      </c>
      <c r="AH18" s="13" t="s">
        <v>100</v>
      </c>
      <c r="AI18" s="13"/>
    </row>
    <row r="19" customFormat="false" ht="15" hidden="false" customHeight="false" outlineLevel="0" collapsed="false">
      <c r="A19" s="13" t="s">
        <v>35</v>
      </c>
      <c r="B19" s="13"/>
      <c r="C19" s="13" t="s">
        <v>221</v>
      </c>
      <c r="D19" s="13" t="s">
        <v>222</v>
      </c>
      <c r="E19" s="13" t="s">
        <v>30</v>
      </c>
      <c r="F19" s="13" t="s">
        <v>28</v>
      </c>
      <c r="G19" s="14" t="n">
        <v>16490</v>
      </c>
      <c r="H19" s="13" t="s">
        <v>19</v>
      </c>
      <c r="I19" s="15" t="n">
        <v>0.0101</v>
      </c>
      <c r="J19" s="16" t="n">
        <f aca="false">IFERROR(INDEX('Como ler'!$B$20:$B$24,MATCH(H19,'Como ler'!$A$20:$A$24,0)),"")</f>
        <v>0.025</v>
      </c>
      <c r="K19" s="17" t="n">
        <f aca="false">IF(OR(I19="",J19=""),"",I19/J19)</f>
        <v>0.404</v>
      </c>
      <c r="L19" s="14" t="n">
        <v>162</v>
      </c>
      <c r="M19" s="18" t="n">
        <v>59.8</v>
      </c>
      <c r="N19" s="14" t="n">
        <v>7430</v>
      </c>
      <c r="O19" s="17" t="n">
        <f aca="false">IF(OR(N19="",G19=0),"",N19/G19)</f>
        <v>0.450576106731352</v>
      </c>
      <c r="P19" s="19" t="n">
        <v>0.18</v>
      </c>
      <c r="Q19" s="20" t="n">
        <v>17.5</v>
      </c>
      <c r="R19" s="21" t="n">
        <v>46292</v>
      </c>
      <c r="S19" s="22" t="n">
        <f aca="false">IF(R19="","",'Como ler'!$B$27-R19)</f>
        <v>0</v>
      </c>
      <c r="T19" s="13" t="n">
        <v>0</v>
      </c>
      <c r="U19" s="13"/>
      <c r="V19" s="13" t="s">
        <v>50</v>
      </c>
      <c r="W19" s="13" t="s">
        <v>223</v>
      </c>
      <c r="X19" s="23" t="s">
        <v>94</v>
      </c>
      <c r="Y19" s="13" t="n">
        <f aca="false">ROUND(IF(K19="",0,MIN(40,40*K19/1.5))+IF(S19="",0,IF(S19&lt;=7,20,IF(S19&lt;=30,12,IF(S19&lt;=90,5,0))))+IF(Q19="",0,MIN(15,Q19*5))+IF(O19="",0,MIN(15,O19*30))+IF(E19="Criador(a)",10,IF(E19="Especialista que cria conteúdo",6,4)),0)</f>
        <v>69</v>
      </c>
      <c r="Z19" s="13" t="s">
        <v>105</v>
      </c>
      <c r="AA19" s="13" t="s">
        <v>113</v>
      </c>
      <c r="AB19" s="13" t="s">
        <v>113</v>
      </c>
      <c r="AC19" s="13"/>
      <c r="AD19" s="13" t="s">
        <v>224</v>
      </c>
      <c r="AE19" s="13" t="s">
        <v>225</v>
      </c>
      <c r="AF19" s="13" t="s">
        <v>226</v>
      </c>
      <c r="AG19" s="24" t="s">
        <v>227</v>
      </c>
      <c r="AH19" s="13" t="s">
        <v>100</v>
      </c>
      <c r="AI19" s="13"/>
    </row>
    <row r="20" customFormat="false" ht="15" hidden="false" customHeight="false" outlineLevel="0" collapsed="false">
      <c r="A20" s="13" t="s">
        <v>35</v>
      </c>
      <c r="B20" s="13"/>
      <c r="C20" s="13" t="s">
        <v>228</v>
      </c>
      <c r="D20" s="13" t="s">
        <v>229</v>
      </c>
      <c r="E20" s="13" t="s">
        <v>200</v>
      </c>
      <c r="F20" s="13" t="s">
        <v>201</v>
      </c>
      <c r="G20" s="14" t="n">
        <v>15574</v>
      </c>
      <c r="H20" s="13" t="s">
        <v>19</v>
      </c>
      <c r="I20" s="15" t="n">
        <v>0.0039</v>
      </c>
      <c r="J20" s="16" t="n">
        <f aca="false">IFERROR(INDEX('Como ler'!$B$20:$B$24,MATCH(H20,'Como ler'!$A$20:$A$24,0)),"")</f>
        <v>0.025</v>
      </c>
      <c r="K20" s="17" t="n">
        <f aca="false">IF(OR(I20="",J20=""),"",I20/J20)</f>
        <v>0.156</v>
      </c>
      <c r="L20" s="14" t="n">
        <v>68</v>
      </c>
      <c r="M20" s="18" t="n">
        <v>7.2</v>
      </c>
      <c r="N20" s="14" t="n">
        <v>228</v>
      </c>
      <c r="O20" s="17" t="n">
        <f aca="false">IF(OR(N20="",G20=0),"",N20/G20)</f>
        <v>0.014639784255811</v>
      </c>
      <c r="P20" s="19" t="n">
        <v>0.36</v>
      </c>
      <c r="Q20" s="20" t="n">
        <v>3.2</v>
      </c>
      <c r="R20" s="21" t="n">
        <v>46290</v>
      </c>
      <c r="S20" s="22" t="n">
        <f aca="false">IF(R20="","",'Como ler'!$B$27-R20)</f>
        <v>2</v>
      </c>
      <c r="T20" s="13" t="n">
        <v>0</v>
      </c>
      <c r="U20" s="13"/>
      <c r="V20" s="13" t="s">
        <v>57</v>
      </c>
      <c r="W20" s="13" t="s">
        <v>230</v>
      </c>
      <c r="X20" s="25" t="s">
        <v>104</v>
      </c>
      <c r="Y20" s="13" t="n">
        <f aca="false">ROUND(IF(K20="",0,MIN(40,40*K20/1.5))+IF(S20="",0,IF(S20&lt;=7,20,IF(S20&lt;=30,12,IF(S20&lt;=90,5,0))))+IF(Q20="",0,MIN(15,Q20*5))+IF(O20="",0,MIN(15,O20*30))+IF(E20="Criador(a)",10,IF(E20="Especialista que cria conteúdo",6,4)),0)</f>
        <v>44</v>
      </c>
      <c r="Z20" s="13" t="s">
        <v>231</v>
      </c>
      <c r="AA20" s="13"/>
      <c r="AB20" s="13" t="s">
        <v>113</v>
      </c>
      <c r="AC20" s="13"/>
      <c r="AD20" s="13" t="s">
        <v>232</v>
      </c>
      <c r="AE20" s="13" t="s">
        <v>233</v>
      </c>
      <c r="AF20" s="13" t="s">
        <v>234</v>
      </c>
      <c r="AG20" s="24" t="s">
        <v>235</v>
      </c>
      <c r="AH20" s="13" t="s">
        <v>100</v>
      </c>
      <c r="AI20" s="13" t="s">
        <v>119</v>
      </c>
    </row>
    <row r="21" customFormat="false" ht="15" hidden="false" customHeight="false" outlineLevel="0" collapsed="false">
      <c r="A21" s="13" t="s">
        <v>35</v>
      </c>
      <c r="B21" s="13" t="s">
        <v>36</v>
      </c>
      <c r="C21" s="13" t="s">
        <v>236</v>
      </c>
      <c r="D21" s="13" t="s">
        <v>237</v>
      </c>
      <c r="E21" s="13" t="s">
        <v>30</v>
      </c>
      <c r="F21" s="13" t="s">
        <v>28</v>
      </c>
      <c r="G21" s="14" t="n">
        <v>13517</v>
      </c>
      <c r="H21" s="13" t="s">
        <v>19</v>
      </c>
      <c r="I21" s="15" t="n">
        <v>0.0056</v>
      </c>
      <c r="J21" s="16" t="n">
        <f aca="false">IFERROR(INDEX('Como ler'!$B$20:$B$24,MATCH(H21,'Como ler'!$A$20:$A$24,0)),"")</f>
        <v>0.025</v>
      </c>
      <c r="K21" s="17" t="n">
        <f aca="false">IF(OR(I21="",J21=""),"",I21/J21)</f>
        <v>0.224</v>
      </c>
      <c r="L21" s="14" t="n">
        <v>591</v>
      </c>
      <c r="M21" s="18" t="n">
        <v>17.8</v>
      </c>
      <c r="N21" s="14" t="n">
        <v>621</v>
      </c>
      <c r="O21" s="17" t="n">
        <f aca="false">IF(OR(N21="",G21=0),"",N21/G21)</f>
        <v>0.0459421469260931</v>
      </c>
      <c r="P21" s="19" t="n">
        <v>0.67</v>
      </c>
      <c r="Q21" s="20" t="n">
        <v>4</v>
      </c>
      <c r="R21" s="21" t="n">
        <v>46290</v>
      </c>
      <c r="S21" s="22" t="n">
        <f aca="false">IF(R21="","",'Como ler'!$B$27-R21)</f>
        <v>2</v>
      </c>
      <c r="T21" s="13" t="n">
        <v>0</v>
      </c>
      <c r="U21" s="13"/>
      <c r="V21" s="13" t="s">
        <v>46</v>
      </c>
      <c r="W21" s="13" t="s">
        <v>238</v>
      </c>
      <c r="X21" s="23" t="s">
        <v>94</v>
      </c>
      <c r="Y21" s="13" t="n">
        <f aca="false">ROUND(IF(K21="",0,MIN(40,40*K21/1.5))+IF(S21="",0,IF(S21&lt;=7,20,IF(S21&lt;=30,12,IF(S21&lt;=90,5,0))))+IF(Q21="",0,MIN(15,Q21*5))+IF(O21="",0,MIN(15,O21*30))+IF(E21="Criador(a)",10,IF(E21="Especialista que cria conteúdo",6,4)),0)</f>
        <v>52</v>
      </c>
      <c r="Z21" s="13" t="s">
        <v>105</v>
      </c>
      <c r="AA21" s="13"/>
      <c r="AB21" s="13"/>
      <c r="AC21" s="13" t="s">
        <v>181</v>
      </c>
      <c r="AD21" s="13" t="s">
        <v>239</v>
      </c>
      <c r="AE21" s="13" t="s">
        <v>240</v>
      </c>
      <c r="AF21" s="13" t="s">
        <v>241</v>
      </c>
      <c r="AG21" s="24" t="s">
        <v>242</v>
      </c>
      <c r="AH21" s="13" t="s">
        <v>100</v>
      </c>
      <c r="AI21" s="13"/>
    </row>
    <row r="22" customFormat="false" ht="15" hidden="false" customHeight="false" outlineLevel="0" collapsed="false">
      <c r="A22" s="13" t="s">
        <v>35</v>
      </c>
      <c r="B22" s="13"/>
      <c r="C22" s="13" t="s">
        <v>243</v>
      </c>
      <c r="D22" s="13" t="s">
        <v>244</v>
      </c>
      <c r="E22" s="13" t="s">
        <v>30</v>
      </c>
      <c r="F22" s="13" t="s">
        <v>28</v>
      </c>
      <c r="G22" s="14" t="n">
        <v>12449</v>
      </c>
      <c r="H22" s="13" t="s">
        <v>19</v>
      </c>
      <c r="I22" s="15" t="n">
        <v>0.0036</v>
      </c>
      <c r="J22" s="16" t="n">
        <f aca="false">IFERROR(INDEX('Como ler'!$B$20:$B$24,MATCH(H22,'Como ler'!$A$20:$A$24,0)),"")</f>
        <v>0.025</v>
      </c>
      <c r="K22" s="17" t="n">
        <f aca="false">IF(OR(I22="",J22=""),"",I22/J22)</f>
        <v>0.144</v>
      </c>
      <c r="L22" s="14" t="n">
        <v>45</v>
      </c>
      <c r="M22" s="18" t="n">
        <v>6.3</v>
      </c>
      <c r="N22" s="14" t="n">
        <v>480</v>
      </c>
      <c r="O22" s="17" t="n">
        <f aca="false">IF(OR(N22="",G22=0),"",N22/G22)</f>
        <v>0.0385573138404691</v>
      </c>
      <c r="P22" s="19" t="n">
        <v>0.7</v>
      </c>
      <c r="Q22" s="20" t="n">
        <v>1.4</v>
      </c>
      <c r="R22" s="21" t="n">
        <v>46278</v>
      </c>
      <c r="S22" s="22" t="n">
        <f aca="false">IF(R22="","",'Como ler'!$B$27-R22)</f>
        <v>14</v>
      </c>
      <c r="T22" s="13" t="n">
        <v>0</v>
      </c>
      <c r="U22" s="13"/>
      <c r="V22" s="13" t="s">
        <v>46</v>
      </c>
      <c r="W22" s="13" t="s">
        <v>46</v>
      </c>
      <c r="X22" s="25" t="s">
        <v>104</v>
      </c>
      <c r="Y22" s="13" t="n">
        <f aca="false">ROUND(IF(K22="",0,MIN(40,40*K22/1.5))+IF(S22="",0,IF(S22&lt;=7,20,IF(S22&lt;=30,12,IF(S22&lt;=90,5,0))))+IF(Q22="",0,MIN(15,Q22*5))+IF(O22="",0,MIN(15,O22*30))+IF(E22="Criador(a)",10,IF(E22="Especialista que cria conteúdo",6,4)),0)</f>
        <v>34</v>
      </c>
      <c r="Z22" s="13"/>
      <c r="AA22" s="13"/>
      <c r="AB22" s="13" t="s">
        <v>113</v>
      </c>
      <c r="AC22" s="13"/>
      <c r="AD22" s="13" t="s">
        <v>245</v>
      </c>
      <c r="AE22" s="13" t="s">
        <v>246</v>
      </c>
      <c r="AF22" s="13" t="s">
        <v>247</v>
      </c>
      <c r="AG22" s="24" t="s">
        <v>248</v>
      </c>
      <c r="AH22" s="13" t="s">
        <v>100</v>
      </c>
      <c r="AI22" s="13"/>
    </row>
    <row r="23" customFormat="false" ht="15" hidden="false" customHeight="false" outlineLevel="0" collapsed="false">
      <c r="A23" s="13" t="s">
        <v>35</v>
      </c>
      <c r="B23" s="13"/>
      <c r="C23" s="13" t="s">
        <v>249</v>
      </c>
      <c r="D23" s="13" t="s">
        <v>250</v>
      </c>
      <c r="E23" s="13" t="s">
        <v>30</v>
      </c>
      <c r="F23" s="13" t="s">
        <v>28</v>
      </c>
      <c r="G23" s="14" t="n">
        <v>12418</v>
      </c>
      <c r="H23" s="13" t="s">
        <v>19</v>
      </c>
      <c r="I23" s="15"/>
      <c r="J23" s="16" t="n">
        <f aca="false">IFERROR(INDEX('Como ler'!$B$20:$B$24,MATCH(H23,'Como ler'!$A$20:$A$24,0)),"")</f>
        <v>0.025</v>
      </c>
      <c r="K23" s="17" t="str">
        <f aca="false">IF(OR(I23="",J23=""),"",I23/J23)</f>
        <v/>
      </c>
      <c r="L23" s="14"/>
      <c r="M23" s="18" t="n">
        <v>11</v>
      </c>
      <c r="N23" s="14" t="n">
        <v>178</v>
      </c>
      <c r="O23" s="17" t="n">
        <f aca="false">IF(OR(N23="",G23=0),"",N23/G23)</f>
        <v>0.014334031244967</v>
      </c>
      <c r="P23" s="19" t="n">
        <v>0.2</v>
      </c>
      <c r="Q23" s="20" t="n">
        <v>0.2</v>
      </c>
      <c r="R23" s="21" t="n">
        <v>46291</v>
      </c>
      <c r="S23" s="22" t="n">
        <f aca="false">IF(R23="","",'Como ler'!$B$27-R23)</f>
        <v>1</v>
      </c>
      <c r="T23" s="13" t="n">
        <v>0</v>
      </c>
      <c r="U23" s="13"/>
      <c r="V23" s="13" t="s">
        <v>43</v>
      </c>
      <c r="W23" s="13" t="s">
        <v>251</v>
      </c>
      <c r="X23" s="26" t="s">
        <v>129</v>
      </c>
      <c r="Y23" s="13" t="n">
        <f aca="false">ROUND(IF(K23="",0,MIN(40,40*K23/1.5))+IF(S23="",0,IF(S23&lt;=7,20,IF(S23&lt;=30,12,IF(S23&lt;=90,5,0))))+IF(Q23="",0,MIN(15,Q23*5))+IF(O23="",0,MIN(15,O23*30))+IF(E23="Criador(a)",10,IF(E23="Especialista que cria conteúdo",6,4)),0)</f>
        <v>31</v>
      </c>
      <c r="Z23" s="13" t="s">
        <v>105</v>
      </c>
      <c r="AA23" s="13"/>
      <c r="AB23" s="13"/>
      <c r="AC23" s="13" t="s">
        <v>181</v>
      </c>
      <c r="AD23" s="13" t="s">
        <v>131</v>
      </c>
      <c r="AE23" s="13" t="s">
        <v>252</v>
      </c>
      <c r="AF23" s="13" t="s">
        <v>253</v>
      </c>
      <c r="AG23" s="24" t="s">
        <v>254</v>
      </c>
      <c r="AH23" s="13" t="s">
        <v>100</v>
      </c>
      <c r="AI23" s="13" t="s">
        <v>119</v>
      </c>
    </row>
    <row r="24" customFormat="false" ht="15" hidden="false" customHeight="false" outlineLevel="0" collapsed="false">
      <c r="A24" s="13" t="s">
        <v>35</v>
      </c>
      <c r="B24" s="13"/>
      <c r="C24" s="13" t="s">
        <v>255</v>
      </c>
      <c r="D24" s="13"/>
      <c r="E24" s="13" t="s">
        <v>200</v>
      </c>
      <c r="F24" s="13" t="s">
        <v>201</v>
      </c>
      <c r="G24" s="14" t="n">
        <v>12104</v>
      </c>
      <c r="H24" s="13" t="s">
        <v>19</v>
      </c>
      <c r="I24" s="15" t="n">
        <v>0.0051</v>
      </c>
      <c r="J24" s="16" t="n">
        <f aca="false">IFERROR(INDEX('Como ler'!$B$20:$B$24,MATCH(H24,'Como ler'!$A$20:$A$24,0)),"")</f>
        <v>0.025</v>
      </c>
      <c r="K24" s="17" t="n">
        <f aca="false">IF(OR(I24="",J24=""),"",I24/J24)</f>
        <v>0.204</v>
      </c>
      <c r="L24" s="14" t="n">
        <v>94</v>
      </c>
      <c r="M24" s="18" t="n">
        <v>1.8</v>
      </c>
      <c r="N24" s="14" t="n">
        <v>882</v>
      </c>
      <c r="O24" s="17" t="n">
        <f aca="false">IF(OR(N24="",G24=0),"",N24/G24)</f>
        <v>0.0728684732319894</v>
      </c>
      <c r="P24" s="19" t="n">
        <v>0.67</v>
      </c>
      <c r="Q24" s="20" t="n">
        <v>7.7</v>
      </c>
      <c r="R24" s="21" t="n">
        <v>46289</v>
      </c>
      <c r="S24" s="22" t="n">
        <f aca="false">IF(R24="","",'Como ler'!$B$27-R24)</f>
        <v>3</v>
      </c>
      <c r="T24" s="13" t="n">
        <v>0</v>
      </c>
      <c r="U24" s="13"/>
      <c r="V24" s="13" t="s">
        <v>47</v>
      </c>
      <c r="W24" s="13" t="s">
        <v>47</v>
      </c>
      <c r="X24" s="25" t="s">
        <v>104</v>
      </c>
      <c r="Y24" s="13" t="n">
        <f aca="false">ROUND(IF(K24="",0,MIN(40,40*K24/1.5))+IF(S24="",0,IF(S24&lt;=7,20,IF(S24&lt;=30,12,IF(S24&lt;=90,5,0))))+IF(Q24="",0,MIN(15,Q24*5))+IF(O24="",0,MIN(15,O24*30))+IF(E24="Criador(a)",10,IF(E24="Especialista que cria conteúdo",6,4)),0)</f>
        <v>47</v>
      </c>
      <c r="Z24" s="13"/>
      <c r="AA24" s="13"/>
      <c r="AB24" s="13" t="s">
        <v>113</v>
      </c>
      <c r="AC24" s="13"/>
      <c r="AD24" s="13" t="s">
        <v>96</v>
      </c>
      <c r="AE24" s="13"/>
      <c r="AF24" s="13" t="s">
        <v>256</v>
      </c>
      <c r="AG24" s="24" t="s">
        <v>257</v>
      </c>
      <c r="AH24" s="13" t="s">
        <v>100</v>
      </c>
      <c r="AI24" s="13"/>
    </row>
    <row r="25" customFormat="false" ht="15" hidden="false" customHeight="false" outlineLevel="0" collapsed="false">
      <c r="A25" s="13" t="s">
        <v>35</v>
      </c>
      <c r="B25" s="13"/>
      <c r="C25" s="13" t="s">
        <v>258</v>
      </c>
      <c r="D25" s="13" t="s">
        <v>259</v>
      </c>
      <c r="E25" s="13" t="s">
        <v>30</v>
      </c>
      <c r="F25" s="13" t="s">
        <v>28</v>
      </c>
      <c r="G25" s="14" t="n">
        <v>11743</v>
      </c>
      <c r="H25" s="13" t="s">
        <v>19</v>
      </c>
      <c r="I25" s="15" t="n">
        <v>0.0063</v>
      </c>
      <c r="J25" s="16" t="n">
        <f aca="false">IFERROR(INDEX('Como ler'!$B$20:$B$24,MATCH(H25,'Como ler'!$A$20:$A$24,0)),"")</f>
        <v>0.025</v>
      </c>
      <c r="K25" s="17" t="n">
        <f aca="false">IF(OR(I25="",J25=""),"",I25/J25)</f>
        <v>0.252</v>
      </c>
      <c r="L25" s="14" t="n">
        <v>143</v>
      </c>
      <c r="M25" s="18" t="n">
        <v>4.8</v>
      </c>
      <c r="N25" s="14" t="n">
        <v>1539</v>
      </c>
      <c r="O25" s="17" t="n">
        <f aca="false">IF(OR(N25="",G25=0),"",N25/G25)</f>
        <v>0.131056799795623</v>
      </c>
      <c r="P25" s="19" t="n">
        <v>0.91</v>
      </c>
      <c r="Q25" s="20" t="n">
        <v>0.9</v>
      </c>
      <c r="R25" s="21" t="n">
        <v>46291</v>
      </c>
      <c r="S25" s="22" t="n">
        <f aca="false">IF(R25="","",'Como ler'!$B$27-R25)</f>
        <v>1</v>
      </c>
      <c r="T25" s="13" t="n">
        <v>0</v>
      </c>
      <c r="U25" s="13"/>
      <c r="V25" s="13"/>
      <c r="W25" s="13"/>
      <c r="X25" s="25" t="s">
        <v>104</v>
      </c>
      <c r="Y25" s="13" t="n">
        <f aca="false">ROUND(IF(K25="",0,MIN(40,40*K25/1.5))+IF(S25="",0,IF(S25&lt;=7,20,IF(S25&lt;=30,12,IF(S25&lt;=90,5,0))))+IF(Q25="",0,MIN(15,Q25*5))+IF(O25="",0,MIN(15,O25*30))+IF(E25="Criador(a)",10,IF(E25="Especialista que cria conteúdo",6,4)),0)</f>
        <v>45</v>
      </c>
      <c r="Z25" s="13"/>
      <c r="AA25" s="13"/>
      <c r="AB25" s="13"/>
      <c r="AC25" s="13"/>
      <c r="AD25" s="13" t="s">
        <v>260</v>
      </c>
      <c r="AE25" s="13" t="s">
        <v>261</v>
      </c>
      <c r="AF25" s="13" t="s">
        <v>262</v>
      </c>
      <c r="AG25" s="24" t="s">
        <v>263</v>
      </c>
      <c r="AH25" s="13" t="s">
        <v>100</v>
      </c>
      <c r="AI25" s="13"/>
    </row>
    <row r="26" customFormat="false" ht="15" hidden="false" customHeight="false" outlineLevel="0" collapsed="false">
      <c r="A26" s="13" t="s">
        <v>35</v>
      </c>
      <c r="B26" s="13"/>
      <c r="C26" s="13" t="s">
        <v>264</v>
      </c>
      <c r="D26" s="13" t="s">
        <v>265</v>
      </c>
      <c r="E26" s="13" t="s">
        <v>157</v>
      </c>
      <c r="F26" s="13" t="s">
        <v>201</v>
      </c>
      <c r="G26" s="14" t="n">
        <v>10806</v>
      </c>
      <c r="H26" s="13" t="s">
        <v>19</v>
      </c>
      <c r="I26" s="15" t="n">
        <v>0.0038</v>
      </c>
      <c r="J26" s="16" t="n">
        <f aca="false">IFERROR(INDEX('Como ler'!$B$20:$B$24,MATCH(H26,'Como ler'!$A$20:$A$24,0)),"")</f>
        <v>0.025</v>
      </c>
      <c r="K26" s="17" t="n">
        <f aca="false">IF(OR(I26="",J26=""),"",I26/J26)</f>
        <v>0.152</v>
      </c>
      <c r="L26" s="14" t="n">
        <v>50</v>
      </c>
      <c r="M26" s="18" t="n">
        <v>4.8</v>
      </c>
      <c r="N26" s="14" t="n">
        <v>376</v>
      </c>
      <c r="O26" s="17" t="n">
        <f aca="false">IF(OR(N26="",G26=0),"",N26/G26)</f>
        <v>0.0347954839903757</v>
      </c>
      <c r="P26" s="19" t="n">
        <v>0.78</v>
      </c>
      <c r="Q26" s="20" t="n">
        <v>2.7</v>
      </c>
      <c r="R26" s="21" t="n">
        <v>46245</v>
      </c>
      <c r="S26" s="22" t="n">
        <f aca="false">IF(R26="","",'Como ler'!$B$27-R26)</f>
        <v>47</v>
      </c>
      <c r="T26" s="13" t="n">
        <v>0</v>
      </c>
      <c r="U26" s="13"/>
      <c r="V26" s="13" t="s">
        <v>50</v>
      </c>
      <c r="W26" s="13" t="s">
        <v>266</v>
      </c>
      <c r="X26" s="23" t="s">
        <v>94</v>
      </c>
      <c r="Y26" s="13" t="n">
        <f aca="false">ROUND(IF(K26="",0,MIN(40,40*K26/1.5))+IF(S26="",0,IF(S26&lt;=7,20,IF(S26&lt;=30,12,IF(S26&lt;=90,5,0))))+IF(Q26="",0,MIN(15,Q26*5))+IF(O26="",0,MIN(15,O26*30))+IF(E26="Criador(a)",10,IF(E26="Especialista que cria conteúdo",6,4)),0)</f>
        <v>30</v>
      </c>
      <c r="Z26" s="13"/>
      <c r="AA26" s="13" t="s">
        <v>113</v>
      </c>
      <c r="AB26" s="13" t="s">
        <v>113</v>
      </c>
      <c r="AC26" s="13"/>
      <c r="AD26" s="13" t="s">
        <v>96</v>
      </c>
      <c r="AE26" s="13"/>
      <c r="AF26" s="13" t="s">
        <v>267</v>
      </c>
      <c r="AG26" s="24" t="s">
        <v>268</v>
      </c>
      <c r="AH26" s="13" t="s">
        <v>100</v>
      </c>
      <c r="AI26" s="13"/>
    </row>
    <row r="27" customFormat="false" ht="15" hidden="false" customHeight="false" outlineLevel="0" collapsed="false">
      <c r="A27" s="13" t="s">
        <v>35</v>
      </c>
      <c r="B27" s="13"/>
      <c r="C27" s="13" t="s">
        <v>269</v>
      </c>
      <c r="D27" s="13" t="s">
        <v>270</v>
      </c>
      <c r="E27" s="13" t="s">
        <v>30</v>
      </c>
      <c r="F27" s="13" t="s">
        <v>28</v>
      </c>
      <c r="G27" s="14" t="n">
        <v>10620</v>
      </c>
      <c r="H27" s="13" t="s">
        <v>19</v>
      </c>
      <c r="I27" s="15" t="n">
        <v>0.0017</v>
      </c>
      <c r="J27" s="16" t="n">
        <f aca="false">IFERROR(INDEX('Como ler'!$B$20:$B$24,MATCH(H27,'Como ler'!$A$20:$A$24,0)),"")</f>
        <v>0.025</v>
      </c>
      <c r="K27" s="17" t="n">
        <f aca="false">IF(OR(I27="",J27=""),"",I27/J27)</f>
        <v>0.068</v>
      </c>
      <c r="L27" s="14" t="n">
        <v>23</v>
      </c>
      <c r="M27" s="18" t="n">
        <v>2.5</v>
      </c>
      <c r="N27" s="14" t="n">
        <v>414</v>
      </c>
      <c r="O27" s="17" t="n">
        <f aca="false">IF(OR(N27="",G27=0),"",N27/G27)</f>
        <v>0.0389830508474576</v>
      </c>
      <c r="P27" s="19" t="n">
        <v>1</v>
      </c>
      <c r="Q27" s="20" t="n">
        <v>3.5</v>
      </c>
      <c r="R27" s="21" t="n">
        <v>46292</v>
      </c>
      <c r="S27" s="22" t="n">
        <f aca="false">IF(R27="","",'Como ler'!$B$27-R27)</f>
        <v>0</v>
      </c>
      <c r="T27" s="13" t="n">
        <v>0</v>
      </c>
      <c r="U27" s="13"/>
      <c r="V27" s="13" t="s">
        <v>52</v>
      </c>
      <c r="W27" s="13" t="s">
        <v>271</v>
      </c>
      <c r="X27" s="23" t="s">
        <v>94</v>
      </c>
      <c r="Y27" s="13" t="n">
        <f aca="false">ROUND(IF(K27="",0,MIN(40,40*K27/1.5))+IF(S27="",0,IF(S27&lt;=7,20,IF(S27&lt;=30,12,IF(S27&lt;=90,5,0))))+IF(Q27="",0,MIN(15,Q27*5))+IF(O27="",0,MIN(15,O27*30))+IF(E27="Criador(a)",10,IF(E27="Especialista que cria conteúdo",6,4)),0)</f>
        <v>48</v>
      </c>
      <c r="Z27" s="13" t="s">
        <v>105</v>
      </c>
      <c r="AA27" s="13"/>
      <c r="AB27" s="13" t="s">
        <v>113</v>
      </c>
      <c r="AC27" s="13"/>
      <c r="AD27" s="13" t="s">
        <v>272</v>
      </c>
      <c r="AE27" s="13" t="s">
        <v>273</v>
      </c>
      <c r="AF27" s="13" t="s">
        <v>274</v>
      </c>
      <c r="AG27" s="24" t="s">
        <v>275</v>
      </c>
      <c r="AH27" s="13" t="s">
        <v>100</v>
      </c>
      <c r="AI27" s="13"/>
    </row>
    <row r="28" customFormat="false" ht="15" hidden="false" customHeight="false" outlineLevel="0" collapsed="false">
      <c r="A28" s="13" t="s">
        <v>35</v>
      </c>
      <c r="B28" s="13"/>
      <c r="C28" s="13" t="s">
        <v>276</v>
      </c>
      <c r="D28" s="13" t="s">
        <v>277</v>
      </c>
      <c r="E28" s="13" t="s">
        <v>157</v>
      </c>
      <c r="F28" s="13" t="s">
        <v>28</v>
      </c>
      <c r="G28" s="14" t="n">
        <v>10401</v>
      </c>
      <c r="H28" s="13" t="s">
        <v>19</v>
      </c>
      <c r="I28" s="15" t="n">
        <v>0.0358</v>
      </c>
      <c r="J28" s="16" t="n">
        <f aca="false">IFERROR(INDEX('Como ler'!$B$20:$B$24,MATCH(H28,'Como ler'!$A$20:$A$24,0)),"")</f>
        <v>0.025</v>
      </c>
      <c r="K28" s="17" t="n">
        <f aca="false">IF(OR(I28="",J28=""),"",I28/J28)</f>
        <v>1.432</v>
      </c>
      <c r="L28" s="14" t="n">
        <v>994</v>
      </c>
      <c r="M28" s="18" t="n">
        <v>47.2</v>
      </c>
      <c r="N28" s="14" t="n">
        <v>4044</v>
      </c>
      <c r="O28" s="17" t="n">
        <f aca="false">IF(OR(N28="",G28=0),"",N28/G28)</f>
        <v>0.388808768387655</v>
      </c>
      <c r="P28" s="19" t="n">
        <v>0.64</v>
      </c>
      <c r="Q28" s="20" t="n">
        <v>1.3</v>
      </c>
      <c r="R28" s="21" t="n">
        <v>46289</v>
      </c>
      <c r="S28" s="22" t="n">
        <f aca="false">IF(R28="","",'Como ler'!$B$27-R28)</f>
        <v>3</v>
      </c>
      <c r="T28" s="13" t="n">
        <v>0</v>
      </c>
      <c r="U28" s="13"/>
      <c r="V28" s="13" t="s">
        <v>56</v>
      </c>
      <c r="W28" s="13" t="s">
        <v>56</v>
      </c>
      <c r="X28" s="23" t="s">
        <v>94</v>
      </c>
      <c r="Y28" s="13" t="n">
        <f aca="false">ROUND(IF(K28="",0,MIN(40,40*K28/1.5))+IF(S28="",0,IF(S28&lt;=7,20,IF(S28&lt;=30,12,IF(S28&lt;=90,5,0))))+IF(Q28="",0,MIN(15,Q28*5))+IF(O28="",0,MIN(15,O28*30))+IF(E28="Criador(a)",10,IF(E28="Especialista que cria conteúdo",6,4)),0)</f>
        <v>82</v>
      </c>
      <c r="Z28" s="13"/>
      <c r="AA28" s="13"/>
      <c r="AB28" s="13" t="s">
        <v>113</v>
      </c>
      <c r="AC28" s="13"/>
      <c r="AD28" s="13" t="s">
        <v>96</v>
      </c>
      <c r="AE28" s="13" t="s">
        <v>278</v>
      </c>
      <c r="AF28" s="13" t="s">
        <v>279</v>
      </c>
      <c r="AG28" s="24" t="s">
        <v>280</v>
      </c>
      <c r="AH28" s="13" t="s">
        <v>100</v>
      </c>
      <c r="AI28" s="13"/>
    </row>
    <row r="29" customFormat="false" ht="15" hidden="false" customHeight="false" outlineLevel="0" collapsed="false">
      <c r="A29" s="13" t="s">
        <v>35</v>
      </c>
      <c r="B29" s="13"/>
      <c r="C29" s="13" t="s">
        <v>281</v>
      </c>
      <c r="D29" s="13" t="s">
        <v>282</v>
      </c>
      <c r="E29" s="13" t="s">
        <v>30</v>
      </c>
      <c r="F29" s="13" t="s">
        <v>28</v>
      </c>
      <c r="G29" s="14" t="n">
        <v>10330</v>
      </c>
      <c r="H29" s="13" t="s">
        <v>19</v>
      </c>
      <c r="I29" s="15" t="n">
        <v>0.0251</v>
      </c>
      <c r="J29" s="16" t="n">
        <f aca="false">IFERROR(INDEX('Como ler'!$B$20:$B$24,MATCH(H29,'Como ler'!$A$20:$A$24,0)),"")</f>
        <v>0.025</v>
      </c>
      <c r="K29" s="17" t="n">
        <f aca="false">IF(OR(I29="",J29=""),"",I29/J29)</f>
        <v>1.004</v>
      </c>
      <c r="L29" s="14" t="n">
        <v>301</v>
      </c>
      <c r="M29" s="18" t="n">
        <v>9.9</v>
      </c>
      <c r="N29" s="14" t="n">
        <v>2782</v>
      </c>
      <c r="O29" s="17" t="n">
        <f aca="false">IF(OR(N29="",G29=0),"",N29/G29)</f>
        <v>0.269312681510165</v>
      </c>
      <c r="P29" s="19" t="n">
        <v>0.43</v>
      </c>
      <c r="Q29" s="20" t="n">
        <v>0</v>
      </c>
      <c r="R29" s="21" t="n">
        <v>46267</v>
      </c>
      <c r="S29" s="22" t="n">
        <f aca="false">IF(R29="","",'Como ler'!$B$27-R29)</f>
        <v>25</v>
      </c>
      <c r="T29" s="13" t="n">
        <v>0</v>
      </c>
      <c r="U29" s="13"/>
      <c r="V29" s="13" t="s">
        <v>41</v>
      </c>
      <c r="W29" s="13" t="s">
        <v>283</v>
      </c>
      <c r="X29" s="23" t="s">
        <v>94</v>
      </c>
      <c r="Y29" s="13" t="n">
        <f aca="false">ROUND(IF(K29="",0,MIN(40,40*K29/1.5))+IF(S29="",0,IF(S29&lt;=7,20,IF(S29&lt;=30,12,IF(S29&lt;=90,5,0))))+IF(Q29="",0,MIN(15,Q29*5))+IF(O29="",0,MIN(15,O29*30))+IF(E29="Criador(a)",10,IF(E29="Especialista que cria conteúdo",6,4)),0)</f>
        <v>57</v>
      </c>
      <c r="Z29" s="13" t="s">
        <v>105</v>
      </c>
      <c r="AA29" s="13"/>
      <c r="AB29" s="13" t="s">
        <v>113</v>
      </c>
      <c r="AC29" s="13"/>
      <c r="AD29" s="13" t="s">
        <v>96</v>
      </c>
      <c r="AE29" s="13" t="s">
        <v>284</v>
      </c>
      <c r="AF29" s="13" t="s">
        <v>285</v>
      </c>
      <c r="AG29" s="24" t="s">
        <v>286</v>
      </c>
      <c r="AH29" s="13" t="s">
        <v>100</v>
      </c>
      <c r="AI29" s="13"/>
    </row>
    <row r="30" customFormat="false" ht="15" hidden="false" customHeight="false" outlineLevel="0" collapsed="false">
      <c r="A30" s="13" t="s">
        <v>35</v>
      </c>
      <c r="B30" s="13"/>
      <c r="C30" s="13" t="s">
        <v>287</v>
      </c>
      <c r="D30" s="13" t="s">
        <v>288</v>
      </c>
      <c r="E30" s="13" t="s">
        <v>30</v>
      </c>
      <c r="F30" s="13" t="s">
        <v>28</v>
      </c>
      <c r="G30" s="14" t="n">
        <v>9953</v>
      </c>
      <c r="H30" s="13" t="s">
        <v>19</v>
      </c>
      <c r="I30" s="15" t="n">
        <v>0.0202</v>
      </c>
      <c r="J30" s="16" t="n">
        <f aca="false">IFERROR(INDEX('Como ler'!$B$20:$B$24,MATCH(H30,'Como ler'!$A$20:$A$24,0)),"")</f>
        <v>0.025</v>
      </c>
      <c r="K30" s="17" t="n">
        <f aca="false">IF(OR(I30="",J30=""),"",I30/J30)</f>
        <v>0.808</v>
      </c>
      <c r="L30" s="14" t="n">
        <v>255</v>
      </c>
      <c r="M30" s="18" t="n">
        <v>16.5</v>
      </c>
      <c r="N30" s="14"/>
      <c r="O30" s="17" t="str">
        <f aca="false">IF(OR(N30="",G30=0),"",N30/G30)</f>
        <v/>
      </c>
      <c r="P30" s="19" t="n">
        <v>0</v>
      </c>
      <c r="Q30" s="20" t="n">
        <v>0.3</v>
      </c>
      <c r="R30" s="21" t="n">
        <v>46258</v>
      </c>
      <c r="S30" s="22" t="n">
        <f aca="false">IF(R30="","",'Como ler'!$B$27-R30)</f>
        <v>34</v>
      </c>
      <c r="T30" s="13" t="n">
        <v>0</v>
      </c>
      <c r="U30" s="13"/>
      <c r="V30" s="13" t="s">
        <v>44</v>
      </c>
      <c r="W30" s="13" t="s">
        <v>44</v>
      </c>
      <c r="X30" s="26" t="s">
        <v>129</v>
      </c>
      <c r="Y30" s="13" t="n">
        <f aca="false">ROUND(IF(K30="",0,MIN(40,40*K30/1.5))+IF(S30="",0,IF(S30&lt;=7,20,IF(S30&lt;=30,12,IF(S30&lt;=90,5,0))))+IF(Q30="",0,MIN(15,Q30*5))+IF(O30="",0,MIN(15,O30*30))+IF(E30="Criador(a)",10,IF(E30="Especialista que cria conteúdo",6,4)),0)</f>
        <v>38</v>
      </c>
      <c r="Z30" s="13" t="s">
        <v>289</v>
      </c>
      <c r="AA30" s="13"/>
      <c r="AB30" s="13"/>
      <c r="AC30" s="13"/>
      <c r="AD30" s="13" t="s">
        <v>290</v>
      </c>
      <c r="AE30" s="13" t="s">
        <v>291</v>
      </c>
      <c r="AF30" s="13" t="s">
        <v>292</v>
      </c>
      <c r="AG30" s="24" t="s">
        <v>293</v>
      </c>
      <c r="AH30" s="13" t="s">
        <v>100</v>
      </c>
      <c r="AI30" s="13"/>
    </row>
    <row r="31" customFormat="false" ht="15" hidden="false" customHeight="false" outlineLevel="0" collapsed="false">
      <c r="A31" s="13" t="s">
        <v>35</v>
      </c>
      <c r="B31" s="13"/>
      <c r="C31" s="13" t="s">
        <v>294</v>
      </c>
      <c r="D31" s="13" t="s">
        <v>295</v>
      </c>
      <c r="E31" s="13" t="s">
        <v>30</v>
      </c>
      <c r="F31" s="13" t="s">
        <v>28</v>
      </c>
      <c r="G31" s="14" t="n">
        <v>9612</v>
      </c>
      <c r="H31" s="13" t="s">
        <v>19</v>
      </c>
      <c r="I31" s="15" t="n">
        <v>0.0031</v>
      </c>
      <c r="J31" s="16" t="n">
        <f aca="false">IFERROR(INDEX('Como ler'!$B$20:$B$24,MATCH(H31,'Como ler'!$A$20:$A$24,0)),"")</f>
        <v>0.025</v>
      </c>
      <c r="K31" s="17" t="n">
        <f aca="false">IF(OR(I31="",J31=""),"",I31/J31)</f>
        <v>0.124</v>
      </c>
      <c r="L31" s="14" t="n">
        <v>28</v>
      </c>
      <c r="M31" s="18" t="n">
        <v>3.7</v>
      </c>
      <c r="N31" s="14" t="n">
        <v>336</v>
      </c>
      <c r="O31" s="17" t="n">
        <f aca="false">IF(OR(N31="",G31=0),"",N31/G31)</f>
        <v>0.034956304619226</v>
      </c>
      <c r="P31" s="19" t="n">
        <v>0.5</v>
      </c>
      <c r="Q31" s="20" t="n">
        <v>0.2</v>
      </c>
      <c r="R31" s="21" t="n">
        <v>46263</v>
      </c>
      <c r="S31" s="22" t="n">
        <f aca="false">IF(R31="","",'Como ler'!$B$27-R31)</f>
        <v>29</v>
      </c>
      <c r="T31" s="13" t="n">
        <v>0</v>
      </c>
      <c r="U31" s="13"/>
      <c r="V31" s="13" t="s">
        <v>53</v>
      </c>
      <c r="W31" s="13" t="s">
        <v>53</v>
      </c>
      <c r="X31" s="26" t="s">
        <v>129</v>
      </c>
      <c r="Y31" s="13" t="n">
        <f aca="false">ROUND(IF(K31="",0,MIN(40,40*K31/1.5))+IF(S31="",0,IF(S31&lt;=7,20,IF(S31&lt;=30,12,IF(S31&lt;=90,5,0))))+IF(Q31="",0,MIN(15,Q31*5))+IF(O31="",0,MIN(15,O31*30))+IF(E31="Criador(a)",10,IF(E31="Especialista que cria conteúdo",6,4)),0)</f>
        <v>27</v>
      </c>
      <c r="Z31" s="13"/>
      <c r="AA31" s="13"/>
      <c r="AB31" s="13"/>
      <c r="AC31" s="13"/>
      <c r="AD31" s="13" t="s">
        <v>296</v>
      </c>
      <c r="AE31" s="13" t="s">
        <v>297</v>
      </c>
      <c r="AF31" s="13" t="s">
        <v>298</v>
      </c>
      <c r="AG31" s="24" t="s">
        <v>299</v>
      </c>
      <c r="AH31" s="13" t="s">
        <v>100</v>
      </c>
      <c r="AI31" s="13"/>
    </row>
    <row r="32" customFormat="false" ht="15" hidden="false" customHeight="false" outlineLevel="0" collapsed="false">
      <c r="A32" s="13" t="s">
        <v>35</v>
      </c>
      <c r="B32" s="13"/>
      <c r="C32" s="13" t="s">
        <v>300</v>
      </c>
      <c r="D32" s="13" t="s">
        <v>301</v>
      </c>
      <c r="E32" s="13" t="s">
        <v>30</v>
      </c>
      <c r="F32" s="13" t="s">
        <v>28</v>
      </c>
      <c r="G32" s="14" t="n">
        <v>9577</v>
      </c>
      <c r="H32" s="13" t="s">
        <v>19</v>
      </c>
      <c r="I32" s="15" t="n">
        <v>0.0242</v>
      </c>
      <c r="J32" s="16" t="n">
        <f aca="false">IFERROR(INDEX('Como ler'!$B$20:$B$24,MATCH(H32,'Como ler'!$A$20:$A$24,0)),"")</f>
        <v>0.025</v>
      </c>
      <c r="K32" s="17" t="n">
        <f aca="false">IF(OR(I32="",J32=""),"",I32/J32)</f>
        <v>0.968</v>
      </c>
      <c r="L32" s="14" t="n">
        <v>258</v>
      </c>
      <c r="M32" s="18" t="n">
        <v>14.4</v>
      </c>
      <c r="N32" s="14"/>
      <c r="O32" s="17" t="str">
        <f aca="false">IF(OR(N32="",G32=0),"",N32/G32)</f>
        <v/>
      </c>
      <c r="P32" s="19" t="n">
        <v>0</v>
      </c>
      <c r="Q32" s="20" t="n">
        <v>0.1</v>
      </c>
      <c r="R32" s="21" t="n">
        <v>46253</v>
      </c>
      <c r="S32" s="22" t="n">
        <f aca="false">IF(R32="","",'Como ler'!$B$27-R32)</f>
        <v>39</v>
      </c>
      <c r="T32" s="13" t="n">
        <v>0</v>
      </c>
      <c r="U32" s="13"/>
      <c r="V32" s="13" t="s">
        <v>41</v>
      </c>
      <c r="W32" s="13" t="s">
        <v>302</v>
      </c>
      <c r="X32" s="23" t="s">
        <v>94</v>
      </c>
      <c r="Y32" s="13" t="n">
        <f aca="false">ROUND(IF(K32="",0,MIN(40,40*K32/1.5))+IF(S32="",0,IF(S32&lt;=7,20,IF(S32&lt;=30,12,IF(S32&lt;=90,5,0))))+IF(Q32="",0,MIN(15,Q32*5))+IF(O32="",0,MIN(15,O32*30))+IF(E32="Criador(a)",10,IF(E32="Especialista que cria conteúdo",6,4)),0)</f>
        <v>41</v>
      </c>
      <c r="Z32" s="13" t="s">
        <v>303</v>
      </c>
      <c r="AA32" s="13"/>
      <c r="AB32" s="13"/>
      <c r="AC32" s="13"/>
      <c r="AD32" s="13" t="s">
        <v>115</v>
      </c>
      <c r="AE32" s="13" t="s">
        <v>304</v>
      </c>
      <c r="AF32" s="13" t="s">
        <v>305</v>
      </c>
      <c r="AG32" s="24" t="s">
        <v>306</v>
      </c>
      <c r="AH32" s="13" t="s">
        <v>100</v>
      </c>
      <c r="AI32" s="13"/>
    </row>
    <row r="33" customFormat="false" ht="15" hidden="false" customHeight="false" outlineLevel="0" collapsed="false">
      <c r="A33" s="13" t="s">
        <v>35</v>
      </c>
      <c r="B33" s="13" t="s">
        <v>36</v>
      </c>
      <c r="C33" s="13" t="s">
        <v>307</v>
      </c>
      <c r="D33" s="13" t="s">
        <v>308</v>
      </c>
      <c r="E33" s="13" t="s">
        <v>200</v>
      </c>
      <c r="F33" s="13" t="s">
        <v>201</v>
      </c>
      <c r="G33" s="14" t="n">
        <v>7887</v>
      </c>
      <c r="H33" s="13" t="s">
        <v>19</v>
      </c>
      <c r="I33" s="15" t="n">
        <v>0.0075</v>
      </c>
      <c r="J33" s="16" t="n">
        <f aca="false">IFERROR(INDEX('Como ler'!$B$20:$B$24,MATCH(H33,'Como ler'!$A$20:$A$24,0)),"")</f>
        <v>0.025</v>
      </c>
      <c r="K33" s="17" t="n">
        <f aca="false">IF(OR(I33="",J33=""),"",I33/J33)</f>
        <v>0.3</v>
      </c>
      <c r="L33" s="14" t="n">
        <v>70</v>
      </c>
      <c r="M33" s="18" t="n">
        <v>5.8</v>
      </c>
      <c r="N33" s="14" t="n">
        <v>102</v>
      </c>
      <c r="O33" s="17" t="n">
        <f aca="false">IF(OR(N33="",G33=0),"",N33/G33)</f>
        <v>0.0129326740205401</v>
      </c>
      <c r="P33" s="19" t="n">
        <v>0.58</v>
      </c>
      <c r="Q33" s="20" t="n">
        <v>1.1</v>
      </c>
      <c r="R33" s="21" t="n">
        <v>46235</v>
      </c>
      <c r="S33" s="22" t="n">
        <f aca="false">IF(R33="","",'Como ler'!$B$27-R33)</f>
        <v>57</v>
      </c>
      <c r="T33" s="13" t="n">
        <v>0</v>
      </c>
      <c r="U33" s="13"/>
      <c r="V33" s="13" t="s">
        <v>44</v>
      </c>
      <c r="W33" s="13" t="s">
        <v>309</v>
      </c>
      <c r="X33" s="25" t="s">
        <v>104</v>
      </c>
      <c r="Y33" s="13" t="n">
        <f aca="false">ROUND(IF(K33="",0,MIN(40,40*K33/1.5))+IF(S33="",0,IF(S33&lt;=7,20,IF(S33&lt;=30,12,IF(S33&lt;=90,5,0))))+IF(Q33="",0,MIN(15,Q33*5))+IF(O33="",0,MIN(15,O33*30))+IF(E33="Criador(a)",10,IF(E33="Especialista que cria conteúdo",6,4)),0)</f>
        <v>23</v>
      </c>
      <c r="Z33" s="13" t="s">
        <v>105</v>
      </c>
      <c r="AA33" s="13"/>
      <c r="AB33" s="13"/>
      <c r="AC33" s="13"/>
      <c r="AD33" s="13" t="s">
        <v>310</v>
      </c>
      <c r="AE33" s="13" t="s">
        <v>311</v>
      </c>
      <c r="AF33" s="13" t="s">
        <v>312</v>
      </c>
      <c r="AG33" s="24" t="s">
        <v>313</v>
      </c>
      <c r="AH33" s="13" t="s">
        <v>100</v>
      </c>
      <c r="AI33" s="13"/>
    </row>
    <row r="34" customFormat="false" ht="15" hidden="false" customHeight="false" outlineLevel="0" collapsed="false">
      <c r="A34" s="13" t="s">
        <v>35</v>
      </c>
      <c r="B34" s="13"/>
      <c r="C34" s="13" t="s">
        <v>314</v>
      </c>
      <c r="D34" s="13" t="s">
        <v>315</v>
      </c>
      <c r="E34" s="13" t="s">
        <v>30</v>
      </c>
      <c r="F34" s="13" t="s">
        <v>28</v>
      </c>
      <c r="G34" s="14" t="n">
        <v>7430</v>
      </c>
      <c r="H34" s="13" t="s">
        <v>19</v>
      </c>
      <c r="I34" s="15" t="n">
        <v>0.0106</v>
      </c>
      <c r="J34" s="16" t="n">
        <f aca="false">IFERROR(INDEX('Como ler'!$B$20:$B$24,MATCH(H34,'Como ler'!$A$20:$A$24,0)),"")</f>
        <v>0.025</v>
      </c>
      <c r="K34" s="17" t="n">
        <f aca="false">IF(OR(I34="",J34=""),"",I34/J34)</f>
        <v>0.424</v>
      </c>
      <c r="L34" s="14" t="n">
        <v>82</v>
      </c>
      <c r="M34" s="18" t="n">
        <v>13.2</v>
      </c>
      <c r="N34" s="14" t="n">
        <v>653</v>
      </c>
      <c r="O34" s="17" t="n">
        <f aca="false">IF(OR(N34="",G34=0),"",N34/G34)</f>
        <v>0.0878869448183042</v>
      </c>
      <c r="P34" s="19" t="n">
        <v>0.75</v>
      </c>
      <c r="Q34" s="20" t="n">
        <v>0.3</v>
      </c>
      <c r="R34" s="21" t="n">
        <v>46292</v>
      </c>
      <c r="S34" s="22" t="n">
        <f aca="false">IF(R34="","",'Como ler'!$B$27-R34)</f>
        <v>0</v>
      </c>
      <c r="T34" s="13" t="n">
        <v>0</v>
      </c>
      <c r="U34" s="13"/>
      <c r="V34" s="13" t="s">
        <v>53</v>
      </c>
      <c r="W34" s="13" t="s">
        <v>316</v>
      </c>
      <c r="X34" s="23" t="s">
        <v>94</v>
      </c>
      <c r="Y34" s="13" t="n">
        <f aca="false">ROUND(IF(K34="",0,MIN(40,40*K34/1.5))+IF(S34="",0,IF(S34&lt;=7,20,IF(S34&lt;=30,12,IF(S34&lt;=90,5,0))))+IF(Q34="",0,MIN(15,Q34*5))+IF(O34="",0,MIN(15,O34*30))+IF(E34="Criador(a)",10,IF(E34="Especialista que cria conteúdo",6,4)),0)</f>
        <v>45</v>
      </c>
      <c r="Z34" s="13"/>
      <c r="AA34" s="13"/>
      <c r="AB34" s="13"/>
      <c r="AC34" s="13"/>
      <c r="AD34" s="13" t="s">
        <v>122</v>
      </c>
      <c r="AE34" s="13" t="s">
        <v>317</v>
      </c>
      <c r="AF34" s="13" t="s">
        <v>318</v>
      </c>
      <c r="AG34" s="24" t="s">
        <v>319</v>
      </c>
      <c r="AH34" s="13" t="s">
        <v>100</v>
      </c>
      <c r="AI34" s="13"/>
    </row>
    <row r="35" customFormat="false" ht="15" hidden="false" customHeight="false" outlineLevel="0" collapsed="false">
      <c r="A35" s="13" t="s">
        <v>35</v>
      </c>
      <c r="B35" s="13"/>
      <c r="C35" s="13" t="s">
        <v>320</v>
      </c>
      <c r="D35" s="13" t="s">
        <v>321</v>
      </c>
      <c r="E35" s="13" t="s">
        <v>157</v>
      </c>
      <c r="F35" s="13" t="s">
        <v>28</v>
      </c>
      <c r="G35" s="14" t="n">
        <v>7365</v>
      </c>
      <c r="H35" s="13" t="s">
        <v>19</v>
      </c>
      <c r="I35" s="15" t="n">
        <v>0.0036</v>
      </c>
      <c r="J35" s="16" t="n">
        <f aca="false">IFERROR(INDEX('Como ler'!$B$20:$B$24,MATCH(H35,'Como ler'!$A$20:$A$24,0)),"")</f>
        <v>0.025</v>
      </c>
      <c r="K35" s="17" t="n">
        <f aca="false">IF(OR(I35="",J35=""),"",I35/J35)</f>
        <v>0.144</v>
      </c>
      <c r="L35" s="14" t="n">
        <v>41</v>
      </c>
      <c r="M35" s="18" t="n">
        <v>4.9</v>
      </c>
      <c r="N35" s="14" t="n">
        <v>228</v>
      </c>
      <c r="O35" s="17" t="n">
        <f aca="false">IF(OR(N35="",G35=0),"",N35/G35)</f>
        <v>0.0309572301425662</v>
      </c>
      <c r="P35" s="19" t="n">
        <v>1</v>
      </c>
      <c r="Q35" s="20" t="n">
        <v>0.4</v>
      </c>
      <c r="R35" s="21" t="n">
        <v>46099</v>
      </c>
      <c r="S35" s="22" t="n">
        <f aca="false">IF(R35="","",'Como ler'!$B$27-R35)</f>
        <v>193</v>
      </c>
      <c r="T35" s="13" t="n">
        <v>5</v>
      </c>
      <c r="U35" s="13" t="s">
        <v>322</v>
      </c>
      <c r="V35" s="13" t="s">
        <v>56</v>
      </c>
      <c r="W35" s="13" t="s">
        <v>323</v>
      </c>
      <c r="X35" s="23" t="s">
        <v>94</v>
      </c>
      <c r="Y35" s="13" t="n">
        <f aca="false">ROUND(IF(K35="",0,MIN(40,40*K35/1.5))+IF(S35="",0,IF(S35&lt;=7,20,IF(S35&lt;=30,12,IF(S35&lt;=90,5,0))))+IF(Q35="",0,MIN(15,Q35*5))+IF(O35="",0,MIN(15,O35*30))+IF(E35="Criador(a)",10,IF(E35="Especialista que cria conteúdo",6,4)),0)</f>
        <v>13</v>
      </c>
      <c r="Z35" s="13" t="s">
        <v>324</v>
      </c>
      <c r="AA35" s="13"/>
      <c r="AB35" s="13"/>
      <c r="AC35" s="13"/>
      <c r="AD35" s="13" t="s">
        <v>96</v>
      </c>
      <c r="AE35" s="13" t="s">
        <v>325</v>
      </c>
      <c r="AF35" s="13" t="s">
        <v>326</v>
      </c>
      <c r="AG35" s="24" t="s">
        <v>327</v>
      </c>
      <c r="AH35" s="13" t="s">
        <v>100</v>
      </c>
      <c r="AI35" s="13"/>
    </row>
    <row r="36" customFormat="false" ht="15" hidden="false" customHeight="false" outlineLevel="0" collapsed="false">
      <c r="A36" s="13" t="s">
        <v>35</v>
      </c>
      <c r="B36" s="13"/>
      <c r="C36" s="13" t="s">
        <v>328</v>
      </c>
      <c r="D36" s="13" t="s">
        <v>329</v>
      </c>
      <c r="E36" s="13" t="s">
        <v>157</v>
      </c>
      <c r="F36" s="13" t="s">
        <v>28</v>
      </c>
      <c r="G36" s="14" t="n">
        <v>6620</v>
      </c>
      <c r="H36" s="13" t="s">
        <v>19</v>
      </c>
      <c r="I36" s="15" t="n">
        <v>0.0115</v>
      </c>
      <c r="J36" s="16" t="n">
        <f aca="false">IFERROR(INDEX('Como ler'!$B$20:$B$24,MATCH(H36,'Como ler'!$A$20:$A$24,0)),"")</f>
        <v>0.025</v>
      </c>
      <c r="K36" s="17" t="n">
        <f aca="false">IF(OR(I36="",J36=""),"",I36/J36)</f>
        <v>0.46</v>
      </c>
      <c r="L36" s="14" t="n">
        <v>61</v>
      </c>
      <c r="M36" s="18" t="n">
        <v>18.5</v>
      </c>
      <c r="N36" s="14" t="n">
        <v>961</v>
      </c>
      <c r="O36" s="17" t="n">
        <f aca="false">IF(OR(N36="",G36=0),"",N36/G36)</f>
        <v>0.145166163141994</v>
      </c>
      <c r="P36" s="19" t="n">
        <v>0.27</v>
      </c>
      <c r="Q36" s="20" t="n">
        <v>0.1</v>
      </c>
      <c r="R36" s="21" t="n">
        <v>46289</v>
      </c>
      <c r="S36" s="22" t="n">
        <f aca="false">IF(R36="","",'Como ler'!$B$27-R36)</f>
        <v>3</v>
      </c>
      <c r="T36" s="13" t="n">
        <v>0</v>
      </c>
      <c r="U36" s="13"/>
      <c r="V36" s="13" t="s">
        <v>52</v>
      </c>
      <c r="W36" s="13" t="s">
        <v>330</v>
      </c>
      <c r="X36" s="23" t="s">
        <v>94</v>
      </c>
      <c r="Y36" s="13" t="n">
        <f aca="false">ROUND(IF(K36="",0,MIN(40,40*K36/1.5))+IF(S36="",0,IF(S36&lt;=7,20,IF(S36&lt;=30,12,IF(S36&lt;=90,5,0))))+IF(Q36="",0,MIN(15,Q36*5))+IF(O36="",0,MIN(15,O36*30))+IF(E36="Criador(a)",10,IF(E36="Especialista que cria conteúdo",6,4)),0)</f>
        <v>43</v>
      </c>
      <c r="Z36" s="13" t="s">
        <v>159</v>
      </c>
      <c r="AA36" s="13" t="s">
        <v>113</v>
      </c>
      <c r="AB36" s="13" t="s">
        <v>113</v>
      </c>
      <c r="AC36" s="13"/>
      <c r="AD36" s="13" t="s">
        <v>331</v>
      </c>
      <c r="AE36" s="13" t="s">
        <v>332</v>
      </c>
      <c r="AF36" s="13" t="s">
        <v>333</v>
      </c>
      <c r="AG36" s="24" t="s">
        <v>334</v>
      </c>
      <c r="AH36" s="13" t="s">
        <v>100</v>
      </c>
      <c r="AI36" s="13"/>
    </row>
    <row r="37" customFormat="false" ht="15" hidden="false" customHeight="false" outlineLevel="0" collapsed="false">
      <c r="A37" s="13" t="s">
        <v>35</v>
      </c>
      <c r="B37" s="13"/>
      <c r="C37" s="13" t="s">
        <v>335</v>
      </c>
      <c r="D37" s="13" t="s">
        <v>336</v>
      </c>
      <c r="E37" s="13" t="s">
        <v>30</v>
      </c>
      <c r="F37" s="13" t="s">
        <v>28</v>
      </c>
      <c r="G37" s="14" t="n">
        <v>6134</v>
      </c>
      <c r="H37" s="13" t="s">
        <v>19</v>
      </c>
      <c r="I37" s="15"/>
      <c r="J37" s="16" t="n">
        <f aca="false">IFERROR(INDEX('Como ler'!$B$20:$B$24,MATCH(H37,'Como ler'!$A$20:$A$24,0)),"")</f>
        <v>0.025</v>
      </c>
      <c r="K37" s="17" t="str">
        <f aca="false">IF(OR(I37="",J37=""),"",I37/J37)</f>
        <v/>
      </c>
      <c r="L37" s="14"/>
      <c r="M37" s="18" t="n">
        <v>19</v>
      </c>
      <c r="N37" s="14" t="n">
        <v>388</v>
      </c>
      <c r="O37" s="17" t="n">
        <f aca="false">IF(OR(N37="",G37=0),"",N37/G37)</f>
        <v>0.0632539941310727</v>
      </c>
      <c r="P37" s="19" t="n">
        <v>0.7</v>
      </c>
      <c r="Q37" s="20" t="n">
        <v>10.5</v>
      </c>
      <c r="R37" s="21" t="n">
        <v>46292</v>
      </c>
      <c r="S37" s="22" t="n">
        <f aca="false">IF(R37="","",'Como ler'!$B$27-R37)</f>
        <v>0</v>
      </c>
      <c r="T37" s="13" t="n">
        <v>0</v>
      </c>
      <c r="U37" s="13"/>
      <c r="V37" s="13" t="s">
        <v>44</v>
      </c>
      <c r="W37" s="13" t="s">
        <v>44</v>
      </c>
      <c r="X37" s="26" t="s">
        <v>129</v>
      </c>
      <c r="Y37" s="13" t="n">
        <f aca="false">ROUND(IF(K37="",0,MIN(40,40*K37/1.5))+IF(S37="",0,IF(S37&lt;=7,20,IF(S37&lt;=30,12,IF(S37&lt;=90,5,0))))+IF(Q37="",0,MIN(15,Q37*5))+IF(O37="",0,MIN(15,O37*30))+IF(E37="Criador(a)",10,IF(E37="Especialista que cria conteúdo",6,4)),0)</f>
        <v>47</v>
      </c>
      <c r="Z37" s="13" t="s">
        <v>159</v>
      </c>
      <c r="AA37" s="13"/>
      <c r="AB37" s="13" t="s">
        <v>113</v>
      </c>
      <c r="AC37" s="13"/>
      <c r="AD37" s="13" t="s">
        <v>151</v>
      </c>
      <c r="AE37" s="13" t="s">
        <v>337</v>
      </c>
      <c r="AF37" s="13" t="s">
        <v>338</v>
      </c>
      <c r="AG37" s="24" t="s">
        <v>339</v>
      </c>
      <c r="AH37" s="13" t="s">
        <v>100</v>
      </c>
      <c r="AI37" s="13" t="s">
        <v>119</v>
      </c>
    </row>
    <row r="38" customFormat="false" ht="15" hidden="false" customHeight="false" outlineLevel="0" collapsed="false">
      <c r="A38" s="13" t="s">
        <v>35</v>
      </c>
      <c r="B38" s="13"/>
      <c r="C38" s="13" t="s">
        <v>340</v>
      </c>
      <c r="D38" s="13" t="s">
        <v>341</v>
      </c>
      <c r="E38" s="13" t="s">
        <v>157</v>
      </c>
      <c r="F38" s="13" t="s">
        <v>28</v>
      </c>
      <c r="G38" s="14" t="n">
        <v>5771</v>
      </c>
      <c r="H38" s="13" t="s">
        <v>19</v>
      </c>
      <c r="I38" s="15" t="n">
        <v>0.0113</v>
      </c>
      <c r="J38" s="16" t="n">
        <f aca="false">IFERROR(INDEX('Como ler'!$B$20:$B$24,MATCH(H38,'Como ler'!$A$20:$A$24,0)),"")</f>
        <v>0.025</v>
      </c>
      <c r="K38" s="17" t="n">
        <f aca="false">IF(OR(I38="",J38=""),"",I38/J38)</f>
        <v>0.452</v>
      </c>
      <c r="L38" s="14" t="n">
        <v>58</v>
      </c>
      <c r="M38" s="18" t="n">
        <v>7.3</v>
      </c>
      <c r="N38" s="14" t="n">
        <v>392</v>
      </c>
      <c r="O38" s="17" t="n">
        <f aca="false">IF(OR(N38="",G38=0),"",N38/G38)</f>
        <v>0.0679258360769364</v>
      </c>
      <c r="P38" s="19" t="n">
        <v>0.83</v>
      </c>
      <c r="Q38" s="20" t="n">
        <v>0.4</v>
      </c>
      <c r="R38" s="21" t="n">
        <v>46265</v>
      </c>
      <c r="S38" s="22" t="n">
        <f aca="false">IF(R38="","",'Como ler'!$B$27-R38)</f>
        <v>27</v>
      </c>
      <c r="T38" s="13" t="n">
        <v>0</v>
      </c>
      <c r="U38" s="13"/>
      <c r="V38" s="13" t="s">
        <v>49</v>
      </c>
      <c r="W38" s="13" t="s">
        <v>342</v>
      </c>
      <c r="X38" s="23" t="s">
        <v>94</v>
      </c>
      <c r="Y38" s="13" t="n">
        <f aca="false">ROUND(IF(K38="",0,MIN(40,40*K38/1.5))+IF(S38="",0,IF(S38&lt;=7,20,IF(S38&lt;=30,12,IF(S38&lt;=90,5,0))))+IF(Q38="",0,MIN(15,Q38*5))+IF(O38="",0,MIN(15,O38*30))+IF(E38="Criador(a)",10,IF(E38="Especialista que cria conteúdo",6,4)),0)</f>
        <v>34</v>
      </c>
      <c r="Z38" s="13" t="s">
        <v>105</v>
      </c>
      <c r="AA38" s="13"/>
      <c r="AB38" s="13" t="s">
        <v>113</v>
      </c>
      <c r="AC38" s="13"/>
      <c r="AD38" s="13" t="s">
        <v>272</v>
      </c>
      <c r="AE38" s="13" t="s">
        <v>343</v>
      </c>
      <c r="AF38" s="13" t="s">
        <v>344</v>
      </c>
      <c r="AG38" s="24" t="s">
        <v>345</v>
      </c>
      <c r="AH38" s="13" t="s">
        <v>100</v>
      </c>
      <c r="AI38" s="13"/>
    </row>
    <row r="39" customFormat="false" ht="15" hidden="false" customHeight="false" outlineLevel="0" collapsed="false">
      <c r="A39" s="13" t="s">
        <v>35</v>
      </c>
      <c r="B39" s="13" t="s">
        <v>38</v>
      </c>
      <c r="C39" s="13" t="s">
        <v>346</v>
      </c>
      <c r="D39" s="13" t="s">
        <v>347</v>
      </c>
      <c r="E39" s="13" t="s">
        <v>30</v>
      </c>
      <c r="F39" s="13" t="s">
        <v>28</v>
      </c>
      <c r="G39" s="14" t="n">
        <v>5648</v>
      </c>
      <c r="H39" s="13" t="s">
        <v>19</v>
      </c>
      <c r="I39" s="15" t="n">
        <v>0.0282</v>
      </c>
      <c r="J39" s="16" t="n">
        <f aca="false">IFERROR(INDEX('Como ler'!$B$20:$B$24,MATCH(H39,'Como ler'!$A$20:$A$24,0)),"")</f>
        <v>0.025</v>
      </c>
      <c r="K39" s="17" t="n">
        <f aca="false">IF(OR(I39="",J39=""),"",I39/J39)</f>
        <v>1.128</v>
      </c>
      <c r="L39" s="14" t="n">
        <v>148</v>
      </c>
      <c r="M39" s="18" t="n">
        <v>6.8</v>
      </c>
      <c r="N39" s="14" t="n">
        <v>1382</v>
      </c>
      <c r="O39" s="17" t="n">
        <f aca="false">IF(OR(N39="",G39=0),"",N39/G39)</f>
        <v>0.244688385269122</v>
      </c>
      <c r="P39" s="19" t="n">
        <v>0.5</v>
      </c>
      <c r="Q39" s="20" t="n">
        <v>0.6</v>
      </c>
      <c r="R39" s="21" t="n">
        <v>46290</v>
      </c>
      <c r="S39" s="22" t="n">
        <f aca="false">IF(R39="","",'Como ler'!$B$27-R39)</f>
        <v>2</v>
      </c>
      <c r="T39" s="13" t="n">
        <v>0</v>
      </c>
      <c r="U39" s="13"/>
      <c r="V39" s="13" t="s">
        <v>45</v>
      </c>
      <c r="W39" s="13" t="s">
        <v>45</v>
      </c>
      <c r="X39" s="25" t="s">
        <v>104</v>
      </c>
      <c r="Y39" s="13" t="n">
        <f aca="false">ROUND(IF(K39="",0,MIN(40,40*K39/1.5))+IF(S39="",0,IF(S39&lt;=7,20,IF(S39&lt;=30,12,IF(S39&lt;=90,5,0))))+IF(Q39="",0,MIN(15,Q39*5))+IF(O39="",0,MIN(15,O39*30))+IF(E39="Criador(a)",10,IF(E39="Especialista que cria conteúdo",6,4)),0)</f>
        <v>70</v>
      </c>
      <c r="Z39" s="13" t="s">
        <v>289</v>
      </c>
      <c r="AA39" s="13"/>
      <c r="AB39" s="13"/>
      <c r="AC39" s="13"/>
      <c r="AD39" s="13" t="s">
        <v>348</v>
      </c>
      <c r="AE39" s="13" t="s">
        <v>349</v>
      </c>
      <c r="AF39" s="13" t="s">
        <v>350</v>
      </c>
      <c r="AG39" s="24" t="s">
        <v>351</v>
      </c>
      <c r="AH39" s="13" t="s">
        <v>100</v>
      </c>
      <c r="AI39" s="13"/>
    </row>
    <row r="40" customFormat="false" ht="15" hidden="false" customHeight="false" outlineLevel="0" collapsed="false">
      <c r="A40" s="13" t="s">
        <v>35</v>
      </c>
      <c r="B40" s="13" t="s">
        <v>38</v>
      </c>
      <c r="C40" s="13" t="s">
        <v>352</v>
      </c>
      <c r="D40" s="13" t="s">
        <v>353</v>
      </c>
      <c r="E40" s="13" t="s">
        <v>30</v>
      </c>
      <c r="F40" s="13" t="s">
        <v>29</v>
      </c>
      <c r="G40" s="14" t="n">
        <v>4593</v>
      </c>
      <c r="H40" s="13" t="s">
        <v>19</v>
      </c>
      <c r="I40" s="15" t="n">
        <v>0.047</v>
      </c>
      <c r="J40" s="16" t="n">
        <f aca="false">IFERROR(INDEX('Como ler'!$B$20:$B$24,MATCH(H40,'Como ler'!$A$20:$A$24,0)),"")</f>
        <v>0.025</v>
      </c>
      <c r="K40" s="17" t="n">
        <f aca="false">IF(OR(I40="",J40=""),"",I40/J40)</f>
        <v>1.88</v>
      </c>
      <c r="L40" s="14" t="n">
        <v>285</v>
      </c>
      <c r="M40" s="18" t="n">
        <v>40.6</v>
      </c>
      <c r="N40" s="14" t="n">
        <v>2529</v>
      </c>
      <c r="O40" s="17" t="n">
        <f aca="false">IF(OR(N40="",G40=0),"",N40/G40)</f>
        <v>0.550620509470934</v>
      </c>
      <c r="P40" s="19" t="n">
        <v>0.67</v>
      </c>
      <c r="Q40" s="20" t="n">
        <v>2.3</v>
      </c>
      <c r="R40" s="21" t="n">
        <v>46291</v>
      </c>
      <c r="S40" s="22" t="n">
        <f aca="false">IF(R40="","",'Como ler'!$B$27-R40)</f>
        <v>1</v>
      </c>
      <c r="T40" s="13" t="n">
        <v>0</v>
      </c>
      <c r="U40" s="13"/>
      <c r="V40" s="13" t="s">
        <v>45</v>
      </c>
      <c r="W40" s="13" t="s">
        <v>354</v>
      </c>
      <c r="X40" s="23" t="s">
        <v>94</v>
      </c>
      <c r="Y40" s="13" t="n">
        <f aca="false">ROUND(IF(K40="",0,MIN(40,40*K40/1.5))+IF(S40="",0,IF(S40&lt;=7,20,IF(S40&lt;=30,12,IF(S40&lt;=90,5,0))))+IF(Q40="",0,MIN(15,Q40*5))+IF(O40="",0,MIN(15,O40*30))+IF(E40="Criador(a)",10,IF(E40="Especialista que cria conteúdo",6,4)),0)</f>
        <v>97</v>
      </c>
      <c r="Z40" s="13" t="s">
        <v>355</v>
      </c>
      <c r="AA40" s="13"/>
      <c r="AB40" s="13" t="s">
        <v>113</v>
      </c>
      <c r="AC40" s="13"/>
      <c r="AD40" s="13" t="s">
        <v>356</v>
      </c>
      <c r="AE40" s="13" t="s">
        <v>357</v>
      </c>
      <c r="AF40" s="13" t="s">
        <v>358</v>
      </c>
      <c r="AG40" s="24" t="s">
        <v>359</v>
      </c>
      <c r="AH40" s="13" t="s">
        <v>100</v>
      </c>
      <c r="AI40" s="13"/>
    </row>
    <row r="41" customFormat="false" ht="15" hidden="false" customHeight="false" outlineLevel="0" collapsed="false">
      <c r="A41" s="13" t="s">
        <v>35</v>
      </c>
      <c r="B41" s="13"/>
      <c r="C41" s="13" t="s">
        <v>360</v>
      </c>
      <c r="D41" s="13" t="s">
        <v>361</v>
      </c>
      <c r="E41" s="13" t="s">
        <v>157</v>
      </c>
      <c r="F41" s="13" t="s">
        <v>28</v>
      </c>
      <c r="G41" s="14" t="n">
        <v>4422</v>
      </c>
      <c r="H41" s="13" t="s">
        <v>19</v>
      </c>
      <c r="I41" s="15" t="n">
        <v>0.0096</v>
      </c>
      <c r="J41" s="16" t="n">
        <f aca="false">IFERROR(INDEX('Como ler'!$B$20:$B$24,MATCH(H41,'Como ler'!$A$20:$A$24,0)),"")</f>
        <v>0.025</v>
      </c>
      <c r="K41" s="17" t="n">
        <f aca="false">IF(OR(I41="",J41=""),"",I41/J41)</f>
        <v>0.384</v>
      </c>
      <c r="L41" s="14" t="n">
        <v>53</v>
      </c>
      <c r="M41" s="18" t="n">
        <v>12.4</v>
      </c>
      <c r="N41" s="14" t="n">
        <v>638</v>
      </c>
      <c r="O41" s="17" t="n">
        <f aca="false">IF(OR(N41="",G41=0),"",N41/G41)</f>
        <v>0.144278606965174</v>
      </c>
      <c r="P41" s="19" t="n">
        <v>0.5</v>
      </c>
      <c r="Q41" s="20" t="n">
        <v>3.2</v>
      </c>
      <c r="R41" s="21" t="n">
        <v>46286</v>
      </c>
      <c r="S41" s="22" t="n">
        <f aca="false">IF(R41="","",'Como ler'!$B$27-R41)</f>
        <v>6</v>
      </c>
      <c r="T41" s="13" t="n">
        <v>0</v>
      </c>
      <c r="U41" s="13"/>
      <c r="V41" s="13" t="s">
        <v>47</v>
      </c>
      <c r="W41" s="13" t="s">
        <v>362</v>
      </c>
      <c r="X41" s="23" t="s">
        <v>94</v>
      </c>
      <c r="Y41" s="13" t="n">
        <f aca="false">ROUND(IF(K41="",0,MIN(40,40*K41/1.5))+IF(S41="",0,IF(S41&lt;=7,20,IF(S41&lt;=30,12,IF(S41&lt;=90,5,0))))+IF(Q41="",0,MIN(15,Q41*5))+IF(O41="",0,MIN(15,O41*30))+IF(E41="Criador(a)",10,IF(E41="Especialista que cria conteúdo",6,4)),0)</f>
        <v>56</v>
      </c>
      <c r="Z41" s="13" t="s">
        <v>105</v>
      </c>
      <c r="AA41" s="13"/>
      <c r="AB41" s="13" t="s">
        <v>113</v>
      </c>
      <c r="AC41" s="13"/>
      <c r="AD41" s="13" t="s">
        <v>96</v>
      </c>
      <c r="AE41" s="13"/>
      <c r="AF41" s="13" t="s">
        <v>363</v>
      </c>
      <c r="AG41" s="24" t="s">
        <v>364</v>
      </c>
      <c r="AH41" s="13" t="s">
        <v>100</v>
      </c>
      <c r="AI41" s="13"/>
    </row>
    <row r="42" customFormat="false" ht="15" hidden="false" customHeight="false" outlineLevel="0" collapsed="false">
      <c r="A42" s="13" t="s">
        <v>35</v>
      </c>
      <c r="B42" s="13" t="s">
        <v>36</v>
      </c>
      <c r="C42" s="13" t="s">
        <v>365</v>
      </c>
      <c r="D42" s="13" t="s">
        <v>366</v>
      </c>
      <c r="E42" s="13" t="s">
        <v>157</v>
      </c>
      <c r="F42" s="13" t="s">
        <v>29</v>
      </c>
      <c r="G42" s="14" t="n">
        <v>4378</v>
      </c>
      <c r="H42" s="13" t="s">
        <v>19</v>
      </c>
      <c r="I42" s="15" t="n">
        <v>0.0046</v>
      </c>
      <c r="J42" s="16" t="n">
        <f aca="false">IFERROR(INDEX('Como ler'!$B$20:$B$24,MATCH(H42,'Como ler'!$A$20:$A$24,0)),"")</f>
        <v>0.025</v>
      </c>
      <c r="K42" s="17" t="n">
        <f aca="false">IF(OR(I42="",J42=""),"",I42/J42)</f>
        <v>0.184</v>
      </c>
      <c r="L42" s="14" t="n">
        <v>51</v>
      </c>
      <c r="M42" s="18" t="n">
        <v>0.3</v>
      </c>
      <c r="N42" s="14" t="n">
        <v>318</v>
      </c>
      <c r="O42" s="17" t="n">
        <f aca="false">IF(OR(N42="",G42=0),"",N42/G42)</f>
        <v>0.0726359068067611</v>
      </c>
      <c r="P42" s="19" t="n">
        <v>0.33</v>
      </c>
      <c r="Q42" s="20" t="n">
        <v>2.3</v>
      </c>
      <c r="R42" s="21" t="n">
        <v>46239</v>
      </c>
      <c r="S42" s="22" t="n">
        <f aca="false">IF(R42="","",'Como ler'!$B$27-R42)</f>
        <v>53</v>
      </c>
      <c r="T42" s="13" t="n">
        <v>0</v>
      </c>
      <c r="U42" s="13"/>
      <c r="V42" s="13" t="s">
        <v>47</v>
      </c>
      <c r="W42" s="13" t="s">
        <v>367</v>
      </c>
      <c r="X42" s="25" t="s">
        <v>104</v>
      </c>
      <c r="Y42" s="13" t="n">
        <f aca="false">ROUND(IF(K42="",0,MIN(40,40*K42/1.5))+IF(S42="",0,IF(S42&lt;=7,20,IF(S42&lt;=30,12,IF(S42&lt;=90,5,0))))+IF(Q42="",0,MIN(15,Q42*5))+IF(O42="",0,MIN(15,O42*30))+IF(E42="Criador(a)",10,IF(E42="Especialista que cria conteúdo",6,4)),0)</f>
        <v>30</v>
      </c>
      <c r="Z42" s="13" t="s">
        <v>105</v>
      </c>
      <c r="AA42" s="13"/>
      <c r="AB42" s="13" t="s">
        <v>113</v>
      </c>
      <c r="AC42" s="13"/>
      <c r="AD42" s="13" t="s">
        <v>368</v>
      </c>
      <c r="AE42" s="13" t="s">
        <v>369</v>
      </c>
      <c r="AF42" s="13" t="s">
        <v>370</v>
      </c>
      <c r="AG42" s="24" t="s">
        <v>371</v>
      </c>
      <c r="AH42" s="13" t="s">
        <v>100</v>
      </c>
      <c r="AI42" s="13"/>
    </row>
    <row r="43" customFormat="false" ht="15" hidden="false" customHeight="false" outlineLevel="0" collapsed="false">
      <c r="A43" s="13" t="s">
        <v>35</v>
      </c>
      <c r="B43" s="13"/>
      <c r="C43" s="13" t="s">
        <v>372</v>
      </c>
      <c r="D43" s="13" t="s">
        <v>373</v>
      </c>
      <c r="E43" s="13" t="s">
        <v>30</v>
      </c>
      <c r="F43" s="13" t="s">
        <v>28</v>
      </c>
      <c r="G43" s="14" t="n">
        <v>3941</v>
      </c>
      <c r="H43" s="13" t="s">
        <v>19</v>
      </c>
      <c r="I43" s="15" t="n">
        <v>0.0192</v>
      </c>
      <c r="J43" s="16" t="n">
        <f aca="false">IFERROR(INDEX('Como ler'!$B$20:$B$24,MATCH(H43,'Como ler'!$A$20:$A$24,0)),"")</f>
        <v>0.025</v>
      </c>
      <c r="K43" s="17" t="n">
        <f aca="false">IF(OR(I43="",J43=""),"",I43/J43)</f>
        <v>0.768</v>
      </c>
      <c r="L43" s="14" t="n">
        <v>209</v>
      </c>
      <c r="M43" s="18" t="n">
        <v>12.9</v>
      </c>
      <c r="N43" s="14" t="n">
        <v>1163</v>
      </c>
      <c r="O43" s="17" t="n">
        <f aca="false">IF(OR(N43="",G43=0),"",N43/G43)</f>
        <v>0.295102765795483</v>
      </c>
      <c r="P43" s="19" t="n">
        <v>0.7</v>
      </c>
      <c r="Q43" s="20" t="n">
        <v>3.5</v>
      </c>
      <c r="R43" s="21" t="n">
        <v>46289</v>
      </c>
      <c r="S43" s="22" t="n">
        <f aca="false">IF(R43="","",'Como ler'!$B$27-R43)</f>
        <v>3</v>
      </c>
      <c r="T43" s="13" t="n">
        <v>0</v>
      </c>
      <c r="U43" s="13"/>
      <c r="V43" s="13" t="s">
        <v>43</v>
      </c>
      <c r="W43" s="13" t="s">
        <v>374</v>
      </c>
      <c r="X43" s="23" t="s">
        <v>94</v>
      </c>
      <c r="Y43" s="13" t="n">
        <f aca="false">ROUND(IF(K43="",0,MIN(40,40*K43/1.5))+IF(S43="",0,IF(S43&lt;=7,20,IF(S43&lt;=30,12,IF(S43&lt;=90,5,0))))+IF(Q43="",0,MIN(15,Q43*5))+IF(O43="",0,MIN(15,O43*30))+IF(E43="Criador(a)",10,IF(E43="Especialista que cria conteúdo",6,4)),0)</f>
        <v>74</v>
      </c>
      <c r="Z43" s="13" t="s">
        <v>105</v>
      </c>
      <c r="AA43" s="13"/>
      <c r="AB43" s="13" t="s">
        <v>113</v>
      </c>
      <c r="AC43" s="13"/>
      <c r="AD43" s="13" t="s">
        <v>375</v>
      </c>
      <c r="AE43" s="13" t="s">
        <v>376</v>
      </c>
      <c r="AF43" s="13" t="s">
        <v>377</v>
      </c>
      <c r="AG43" s="24" t="s">
        <v>378</v>
      </c>
      <c r="AH43" s="13" t="s">
        <v>100</v>
      </c>
      <c r="AI43" s="13"/>
    </row>
    <row r="44" customFormat="false" ht="15" hidden="false" customHeight="false" outlineLevel="0" collapsed="false">
      <c r="A44" s="13" t="s">
        <v>35</v>
      </c>
      <c r="B44" s="13"/>
      <c r="C44" s="13" t="s">
        <v>379</v>
      </c>
      <c r="D44" s="13" t="s">
        <v>380</v>
      </c>
      <c r="E44" s="13" t="s">
        <v>30</v>
      </c>
      <c r="F44" s="13" t="s">
        <v>28</v>
      </c>
      <c r="G44" s="14" t="n">
        <v>3759</v>
      </c>
      <c r="H44" s="13" t="s">
        <v>19</v>
      </c>
      <c r="I44" s="15" t="n">
        <v>0.0067</v>
      </c>
      <c r="J44" s="16" t="n">
        <f aca="false">IFERROR(INDEX('Como ler'!$B$20:$B$24,MATCH(H44,'Como ler'!$A$20:$A$24,0)),"")</f>
        <v>0.025</v>
      </c>
      <c r="K44" s="17" t="n">
        <f aca="false">IF(OR(I44="",J44=""),"",I44/J44)</f>
        <v>0.268</v>
      </c>
      <c r="L44" s="14" t="n">
        <v>45</v>
      </c>
      <c r="M44" s="18" t="n">
        <v>2.7</v>
      </c>
      <c r="N44" s="14" t="n">
        <v>202</v>
      </c>
      <c r="O44" s="17" t="n">
        <f aca="false">IF(OR(N44="",G44=0),"",N44/G44)</f>
        <v>0.0537376961957968</v>
      </c>
      <c r="P44" s="19" t="n">
        <v>0.58</v>
      </c>
      <c r="Q44" s="20" t="n">
        <v>1.6</v>
      </c>
      <c r="R44" s="21" t="n">
        <v>46291</v>
      </c>
      <c r="S44" s="22" t="n">
        <f aca="false">IF(R44="","",'Como ler'!$B$27-R44)</f>
        <v>1</v>
      </c>
      <c r="T44" s="13" t="n">
        <v>0</v>
      </c>
      <c r="U44" s="13"/>
      <c r="V44" s="13" t="s">
        <v>42</v>
      </c>
      <c r="W44" s="13" t="s">
        <v>381</v>
      </c>
      <c r="X44" s="26" t="s">
        <v>129</v>
      </c>
      <c r="Y44" s="13" t="n">
        <f aca="false">ROUND(IF(K44="",0,MIN(40,40*K44/1.5))+IF(S44="",0,IF(S44&lt;=7,20,IF(S44&lt;=30,12,IF(S44&lt;=90,5,0))))+IF(Q44="",0,MIN(15,Q44*5))+IF(O44="",0,MIN(15,O44*30))+IF(E44="Criador(a)",10,IF(E44="Especialista que cria conteúdo",6,4)),0)</f>
        <v>47</v>
      </c>
      <c r="Z44" s="13" t="s">
        <v>289</v>
      </c>
      <c r="AA44" s="13"/>
      <c r="AB44" s="13" t="s">
        <v>113</v>
      </c>
      <c r="AC44" s="13"/>
      <c r="AD44" s="13" t="s">
        <v>331</v>
      </c>
      <c r="AE44" s="13" t="s">
        <v>382</v>
      </c>
      <c r="AF44" s="13" t="s">
        <v>383</v>
      </c>
      <c r="AG44" s="24" t="s">
        <v>384</v>
      </c>
      <c r="AH44" s="13" t="s">
        <v>100</v>
      </c>
      <c r="AI44" s="13"/>
    </row>
    <row r="45" customFormat="false" ht="15" hidden="false" customHeight="false" outlineLevel="0" collapsed="false">
      <c r="A45" s="13" t="s">
        <v>35</v>
      </c>
      <c r="B45" s="13" t="s">
        <v>36</v>
      </c>
      <c r="C45" s="13" t="s">
        <v>385</v>
      </c>
      <c r="D45" s="13" t="s">
        <v>386</v>
      </c>
      <c r="E45" s="13" t="s">
        <v>157</v>
      </c>
      <c r="F45" s="13" t="s">
        <v>28</v>
      </c>
      <c r="G45" s="14" t="n">
        <v>3647</v>
      </c>
      <c r="H45" s="13" t="s">
        <v>19</v>
      </c>
      <c r="I45" s="15" t="n">
        <v>0.0337</v>
      </c>
      <c r="J45" s="16" t="n">
        <f aca="false">IFERROR(INDEX('Como ler'!$B$20:$B$24,MATCH(H45,'Como ler'!$A$20:$A$24,0)),"")</f>
        <v>0.025</v>
      </c>
      <c r="K45" s="17" t="n">
        <f aca="false">IF(OR(I45="",J45=""),"",I45/J45)</f>
        <v>1.348</v>
      </c>
      <c r="L45" s="14" t="n">
        <v>105</v>
      </c>
      <c r="M45" s="18" t="n">
        <v>16.9</v>
      </c>
      <c r="N45" s="14" t="n">
        <v>428</v>
      </c>
      <c r="O45" s="17" t="n">
        <f aca="false">IF(OR(N45="",G45=0),"",N45/G45)</f>
        <v>0.117356731560186</v>
      </c>
      <c r="P45" s="19" t="n">
        <v>0.33</v>
      </c>
      <c r="Q45" s="20" t="n">
        <v>0.9</v>
      </c>
      <c r="R45" s="21" t="n">
        <v>46286</v>
      </c>
      <c r="S45" s="22" t="n">
        <f aca="false">IF(R45="","",'Como ler'!$B$27-R45)</f>
        <v>6</v>
      </c>
      <c r="T45" s="13" t="n">
        <v>0</v>
      </c>
      <c r="U45" s="13"/>
      <c r="V45" s="13" t="s">
        <v>52</v>
      </c>
      <c r="W45" s="13" t="s">
        <v>52</v>
      </c>
      <c r="X45" s="23" t="s">
        <v>94</v>
      </c>
      <c r="Y45" s="13" t="n">
        <f aca="false">ROUND(IF(K45="",0,MIN(40,40*K45/1.5))+IF(S45="",0,IF(S45&lt;=7,20,IF(S45&lt;=30,12,IF(S45&lt;=90,5,0))))+IF(Q45="",0,MIN(15,Q45*5))+IF(O45="",0,MIN(15,O45*30))+IF(E45="Criador(a)",10,IF(E45="Especialista que cria conteúdo",6,4)),0)</f>
        <v>70</v>
      </c>
      <c r="Z45" s="13"/>
      <c r="AA45" s="13"/>
      <c r="AB45" s="13" t="s">
        <v>113</v>
      </c>
      <c r="AC45" s="13" t="s">
        <v>130</v>
      </c>
      <c r="AD45" s="13" t="s">
        <v>387</v>
      </c>
      <c r="AE45" s="13" t="s">
        <v>388</v>
      </c>
      <c r="AF45" s="13" t="s">
        <v>389</v>
      </c>
      <c r="AG45" s="24" t="s">
        <v>390</v>
      </c>
      <c r="AH45" s="13" t="s">
        <v>100</v>
      </c>
      <c r="AI45" s="13"/>
    </row>
    <row r="46" customFormat="false" ht="15" hidden="false" customHeight="false" outlineLevel="0" collapsed="false">
      <c r="A46" s="13" t="s">
        <v>35</v>
      </c>
      <c r="B46" s="13"/>
      <c r="C46" s="13" t="s">
        <v>391</v>
      </c>
      <c r="D46" s="13" t="s">
        <v>392</v>
      </c>
      <c r="E46" s="13" t="s">
        <v>30</v>
      </c>
      <c r="F46" s="13" t="s">
        <v>28</v>
      </c>
      <c r="G46" s="14" t="n">
        <v>3375</v>
      </c>
      <c r="H46" s="13" t="s">
        <v>19</v>
      </c>
      <c r="I46" s="15" t="n">
        <v>0.0166</v>
      </c>
      <c r="J46" s="16" t="n">
        <f aca="false">IFERROR(INDEX('Como ler'!$B$20:$B$24,MATCH(H46,'Como ler'!$A$20:$A$24,0)),"")</f>
        <v>0.025</v>
      </c>
      <c r="K46" s="17" t="n">
        <f aca="false">IF(OR(I46="",J46=""),"",I46/J46)</f>
        <v>0.664</v>
      </c>
      <c r="L46" s="14" t="n">
        <v>54</v>
      </c>
      <c r="M46" s="18" t="n">
        <v>8.4</v>
      </c>
      <c r="N46" s="14" t="n">
        <v>372</v>
      </c>
      <c r="O46" s="17" t="n">
        <f aca="false">IF(OR(N46="",G46=0),"",N46/G46)</f>
        <v>0.110222222222222</v>
      </c>
      <c r="P46" s="19" t="n">
        <v>0.55</v>
      </c>
      <c r="Q46" s="20" t="n">
        <v>0.1</v>
      </c>
      <c r="R46" s="21" t="n">
        <v>46290</v>
      </c>
      <c r="S46" s="22" t="n">
        <f aca="false">IF(R46="","",'Como ler'!$B$27-R46)</f>
        <v>2</v>
      </c>
      <c r="T46" s="13" t="n">
        <v>0</v>
      </c>
      <c r="U46" s="13"/>
      <c r="V46" s="13" t="s">
        <v>47</v>
      </c>
      <c r="W46" s="13" t="s">
        <v>47</v>
      </c>
      <c r="X46" s="25" t="s">
        <v>104</v>
      </c>
      <c r="Y46" s="13" t="n">
        <f aca="false">ROUND(IF(K46="",0,MIN(40,40*K46/1.5))+IF(S46="",0,IF(S46&lt;=7,20,IF(S46&lt;=30,12,IF(S46&lt;=90,5,0))))+IF(Q46="",0,MIN(15,Q46*5))+IF(O46="",0,MIN(15,O46*30))+IF(E46="Criador(a)",10,IF(E46="Especialista que cria conteúdo",6,4)),0)</f>
        <v>52</v>
      </c>
      <c r="Z46" s="13"/>
      <c r="AA46" s="13"/>
      <c r="AB46" s="13"/>
      <c r="AC46" s="13"/>
      <c r="AD46" s="13" t="s">
        <v>122</v>
      </c>
      <c r="AE46" s="13" t="s">
        <v>393</v>
      </c>
      <c r="AF46" s="13" t="s">
        <v>394</v>
      </c>
      <c r="AG46" s="24" t="s">
        <v>395</v>
      </c>
      <c r="AH46" s="13" t="s">
        <v>100</v>
      </c>
      <c r="AI46" s="13"/>
    </row>
    <row r="47" customFormat="false" ht="15" hidden="false" customHeight="false" outlineLevel="0" collapsed="false">
      <c r="A47" s="13" t="s">
        <v>35</v>
      </c>
      <c r="B47" s="13"/>
      <c r="C47" s="13" t="s">
        <v>396</v>
      </c>
      <c r="D47" s="13" t="s">
        <v>397</v>
      </c>
      <c r="E47" s="13" t="s">
        <v>157</v>
      </c>
      <c r="F47" s="13" t="s">
        <v>28</v>
      </c>
      <c r="G47" s="14" t="n">
        <v>3121</v>
      </c>
      <c r="H47" s="13" t="s">
        <v>19</v>
      </c>
      <c r="I47" s="15" t="n">
        <v>0.0061</v>
      </c>
      <c r="J47" s="16" t="n">
        <f aca="false">IFERROR(INDEX('Como ler'!$B$20:$B$24,MATCH(H47,'Como ler'!$A$20:$A$24,0)),"")</f>
        <v>0.025</v>
      </c>
      <c r="K47" s="17" t="n">
        <f aca="false">IF(OR(I47="",J47=""),"",I47/J47)</f>
        <v>0.244</v>
      </c>
      <c r="L47" s="14" t="n">
        <v>21</v>
      </c>
      <c r="M47" s="18" t="n">
        <v>7</v>
      </c>
      <c r="N47" s="14" t="n">
        <v>226</v>
      </c>
      <c r="O47" s="17" t="n">
        <f aca="false">IF(OR(N47="",G47=0),"",N47/G47)</f>
        <v>0.0724126882409484</v>
      </c>
      <c r="P47" s="19" t="n">
        <v>0.44</v>
      </c>
      <c r="Q47" s="20" t="n">
        <v>1.2</v>
      </c>
      <c r="R47" s="21" t="n">
        <v>46287</v>
      </c>
      <c r="S47" s="22" t="n">
        <f aca="false">IF(R47="","",'Como ler'!$B$27-R47)</f>
        <v>5</v>
      </c>
      <c r="T47" s="13" t="n">
        <v>0</v>
      </c>
      <c r="U47" s="13"/>
      <c r="V47" s="13" t="s">
        <v>55</v>
      </c>
      <c r="W47" s="13" t="s">
        <v>398</v>
      </c>
      <c r="X47" s="26" t="s">
        <v>129</v>
      </c>
      <c r="Y47" s="13" t="n">
        <f aca="false">ROUND(IF(K47="",0,MIN(40,40*K47/1.5))+IF(S47="",0,IF(S47&lt;=7,20,IF(S47&lt;=30,12,IF(S47&lt;=90,5,0))))+IF(Q47="",0,MIN(15,Q47*5))+IF(O47="",0,MIN(15,O47*30))+IF(E47="Criador(a)",10,IF(E47="Especialista que cria conteúdo",6,4)),0)</f>
        <v>41</v>
      </c>
      <c r="Z47" s="13" t="s">
        <v>399</v>
      </c>
      <c r="AA47" s="13"/>
      <c r="AB47" s="13" t="s">
        <v>113</v>
      </c>
      <c r="AC47" s="13"/>
      <c r="AD47" s="13" t="s">
        <v>400</v>
      </c>
      <c r="AE47" s="13" t="s">
        <v>401</v>
      </c>
      <c r="AF47" s="13" t="s">
        <v>402</v>
      </c>
      <c r="AG47" s="24" t="s">
        <v>403</v>
      </c>
      <c r="AH47" s="13" t="s">
        <v>100</v>
      </c>
      <c r="AI47" s="13"/>
    </row>
    <row r="48" customFormat="false" ht="15" hidden="false" customHeight="false" outlineLevel="0" collapsed="false">
      <c r="A48" s="13" t="s">
        <v>35</v>
      </c>
      <c r="B48" s="13"/>
      <c r="C48" s="13" t="s">
        <v>404</v>
      </c>
      <c r="D48" s="13" t="s">
        <v>405</v>
      </c>
      <c r="E48" s="13" t="s">
        <v>30</v>
      </c>
      <c r="F48" s="13" t="s">
        <v>29</v>
      </c>
      <c r="G48" s="14" t="n">
        <v>2821</v>
      </c>
      <c r="H48" s="13" t="s">
        <v>18</v>
      </c>
      <c r="I48" s="15" t="n">
        <v>0.0349</v>
      </c>
      <c r="J48" s="16" t="n">
        <f aca="false">IFERROR(INDEX('Como ler'!$B$20:$B$24,MATCH(H48,'Como ler'!$A$20:$A$24,0)),"")</f>
        <v>0.04</v>
      </c>
      <c r="K48" s="17" t="n">
        <f aca="false">IF(OR(I48="",J48=""),"",I48/J48)</f>
        <v>0.8725</v>
      </c>
      <c r="L48" s="14" t="n">
        <v>89</v>
      </c>
      <c r="M48" s="18" t="n">
        <v>4.9</v>
      </c>
      <c r="N48" s="14" t="n">
        <v>984</v>
      </c>
      <c r="O48" s="17" t="n">
        <f aca="false">IF(OR(N48="",G48=0),"",N48/G48)</f>
        <v>0.348812477844736</v>
      </c>
      <c r="P48" s="19" t="n">
        <v>0.25</v>
      </c>
      <c r="Q48" s="20" t="n">
        <v>0.3</v>
      </c>
      <c r="R48" s="21" t="n">
        <v>46275</v>
      </c>
      <c r="S48" s="22" t="n">
        <f aca="false">IF(R48="","",'Como ler'!$B$27-R48)</f>
        <v>17</v>
      </c>
      <c r="T48" s="13" t="n">
        <v>0</v>
      </c>
      <c r="U48" s="13"/>
      <c r="V48" s="13"/>
      <c r="W48" s="13"/>
      <c r="X48" s="25" t="s">
        <v>104</v>
      </c>
      <c r="Y48" s="13" t="n">
        <f aca="false">ROUND(IF(K48="",0,MIN(40,40*K48/1.5))+IF(S48="",0,IF(S48&lt;=7,20,IF(S48&lt;=30,12,IF(S48&lt;=90,5,0))))+IF(Q48="",0,MIN(15,Q48*5))+IF(O48="",0,MIN(15,O48*30))+IF(E48="Criador(a)",10,IF(E48="Especialista que cria conteúdo",6,4)),0)</f>
        <v>57</v>
      </c>
      <c r="Z48" s="13"/>
      <c r="AA48" s="13"/>
      <c r="AB48" s="13"/>
      <c r="AC48" s="13"/>
      <c r="AD48" s="13" t="s">
        <v>115</v>
      </c>
      <c r="AE48" s="13" t="s">
        <v>406</v>
      </c>
      <c r="AF48" s="13" t="s">
        <v>407</v>
      </c>
      <c r="AG48" s="24" t="s">
        <v>408</v>
      </c>
      <c r="AH48" s="13" t="s">
        <v>100</v>
      </c>
      <c r="AI48" s="13"/>
    </row>
    <row r="49" customFormat="false" ht="15" hidden="false" customHeight="false" outlineLevel="0" collapsed="false">
      <c r="A49" s="13" t="s">
        <v>35</v>
      </c>
      <c r="B49" s="13"/>
      <c r="C49" s="13" t="s">
        <v>409</v>
      </c>
      <c r="D49" s="13" t="s">
        <v>410</v>
      </c>
      <c r="E49" s="13" t="s">
        <v>157</v>
      </c>
      <c r="F49" s="13" t="s">
        <v>29</v>
      </c>
      <c r="G49" s="14" t="n">
        <v>2614</v>
      </c>
      <c r="H49" s="13" t="s">
        <v>18</v>
      </c>
      <c r="I49" s="15" t="n">
        <v>0.0042</v>
      </c>
      <c r="J49" s="16" t="n">
        <f aca="false">IFERROR(INDEX('Como ler'!$B$20:$B$24,MATCH(H49,'Como ler'!$A$20:$A$24,0)),"")</f>
        <v>0.04</v>
      </c>
      <c r="K49" s="17" t="n">
        <f aca="false">IF(OR(I49="",J49=""),"",I49/J49)</f>
        <v>0.105</v>
      </c>
      <c r="L49" s="14" t="n">
        <v>19</v>
      </c>
      <c r="M49" s="18" t="n">
        <v>2.1</v>
      </c>
      <c r="N49" s="14" t="n">
        <v>198</v>
      </c>
      <c r="O49" s="17" t="n">
        <f aca="false">IF(OR(N49="",G49=0),"",N49/G49)</f>
        <v>0.0757459831675593</v>
      </c>
      <c r="P49" s="19" t="n">
        <v>0.11</v>
      </c>
      <c r="Q49" s="20" t="n">
        <v>1.1</v>
      </c>
      <c r="R49" s="21" t="n">
        <v>46286</v>
      </c>
      <c r="S49" s="22" t="n">
        <f aca="false">IF(R49="","",'Como ler'!$B$27-R49)</f>
        <v>6</v>
      </c>
      <c r="T49" s="13" t="n">
        <v>0</v>
      </c>
      <c r="U49" s="13"/>
      <c r="V49" s="13" t="s">
        <v>45</v>
      </c>
      <c r="W49" s="13" t="s">
        <v>411</v>
      </c>
      <c r="X49" s="26" t="s">
        <v>129</v>
      </c>
      <c r="Y49" s="13" t="n">
        <f aca="false">ROUND(IF(K49="",0,MIN(40,40*K49/1.5))+IF(S49="",0,IF(S49&lt;=7,20,IF(S49&lt;=30,12,IF(S49&lt;=90,5,0))))+IF(Q49="",0,MIN(15,Q49*5))+IF(O49="",0,MIN(15,O49*30))+IF(E49="Criador(a)",10,IF(E49="Especialista que cria conteúdo",6,4)),0)</f>
        <v>37</v>
      </c>
      <c r="Z49" s="13" t="s">
        <v>95</v>
      </c>
      <c r="AA49" s="13"/>
      <c r="AB49" s="13"/>
      <c r="AC49" s="13"/>
      <c r="AD49" s="13" t="s">
        <v>151</v>
      </c>
      <c r="AE49" s="13" t="s">
        <v>412</v>
      </c>
      <c r="AF49" s="13" t="s">
        <v>413</v>
      </c>
      <c r="AG49" s="24" t="s">
        <v>414</v>
      </c>
      <c r="AH49" s="13" t="s">
        <v>100</v>
      </c>
      <c r="AI49" s="13"/>
    </row>
    <row r="50" customFormat="false" ht="15" hidden="false" customHeight="false" outlineLevel="0" collapsed="false">
      <c r="A50" s="13" t="s">
        <v>35</v>
      </c>
      <c r="B50" s="13"/>
      <c r="C50" s="13" t="s">
        <v>415</v>
      </c>
      <c r="D50" s="13" t="s">
        <v>416</v>
      </c>
      <c r="E50" s="13" t="s">
        <v>157</v>
      </c>
      <c r="F50" s="13" t="s">
        <v>29</v>
      </c>
      <c r="G50" s="14" t="n">
        <v>2377</v>
      </c>
      <c r="H50" s="13" t="s">
        <v>18</v>
      </c>
      <c r="I50" s="15" t="n">
        <v>0.0093</v>
      </c>
      <c r="J50" s="16" t="n">
        <f aca="false">IFERROR(INDEX('Como ler'!$B$20:$B$24,MATCH(H50,'Como ler'!$A$20:$A$24,0)),"")</f>
        <v>0.04</v>
      </c>
      <c r="K50" s="17" t="n">
        <f aca="false">IF(OR(I50="",J50=""),"",I50/J50)</f>
        <v>0.2325</v>
      </c>
      <c r="L50" s="14" t="n">
        <v>24</v>
      </c>
      <c r="M50" s="18" t="n">
        <v>2.6</v>
      </c>
      <c r="N50" s="14" t="n">
        <v>72</v>
      </c>
      <c r="O50" s="17" t="n">
        <f aca="false">IF(OR(N50="",G50=0),"",N50/G50)</f>
        <v>0.0302902818679007</v>
      </c>
      <c r="P50" s="19" t="n">
        <v>0.67</v>
      </c>
      <c r="Q50" s="20" t="n">
        <v>2.8</v>
      </c>
      <c r="R50" s="21" t="n">
        <v>46280</v>
      </c>
      <c r="S50" s="22" t="n">
        <f aca="false">IF(R50="","",'Como ler'!$B$27-R50)</f>
        <v>12</v>
      </c>
      <c r="T50" s="13" t="n">
        <v>0</v>
      </c>
      <c r="U50" s="13"/>
      <c r="V50" s="13" t="s">
        <v>52</v>
      </c>
      <c r="W50" s="13" t="s">
        <v>417</v>
      </c>
      <c r="X50" s="23" t="s">
        <v>94</v>
      </c>
      <c r="Y50" s="13" t="n">
        <f aca="false">ROUND(IF(K50="",0,MIN(40,40*K50/1.5))+IF(S50="",0,IF(S50&lt;=7,20,IF(S50&lt;=30,12,IF(S50&lt;=90,5,0))))+IF(Q50="",0,MIN(15,Q50*5))+IF(O50="",0,MIN(15,O50*30))+IF(E50="Criador(a)",10,IF(E50="Especialista que cria conteúdo",6,4)),0)</f>
        <v>39</v>
      </c>
      <c r="Z50" s="13"/>
      <c r="AA50" s="13"/>
      <c r="AB50" s="13" t="s">
        <v>113</v>
      </c>
      <c r="AC50" s="13"/>
      <c r="AD50" s="13" t="s">
        <v>115</v>
      </c>
      <c r="AE50" s="13" t="s">
        <v>418</v>
      </c>
      <c r="AF50" s="13" t="s">
        <v>419</v>
      </c>
      <c r="AG50" s="24" t="s">
        <v>420</v>
      </c>
      <c r="AH50" s="13" t="s">
        <v>100</v>
      </c>
      <c r="AI50" s="13"/>
    </row>
    <row r="51" customFormat="false" ht="15" hidden="false" customHeight="false" outlineLevel="0" collapsed="false">
      <c r="A51" s="13" t="s">
        <v>35</v>
      </c>
      <c r="B51" s="13"/>
      <c r="C51" s="13" t="s">
        <v>421</v>
      </c>
      <c r="D51" s="13" t="s">
        <v>422</v>
      </c>
      <c r="E51" s="13" t="s">
        <v>30</v>
      </c>
      <c r="F51" s="13" t="s">
        <v>28</v>
      </c>
      <c r="G51" s="14" t="n">
        <v>2266</v>
      </c>
      <c r="H51" s="13" t="s">
        <v>18</v>
      </c>
      <c r="I51" s="15" t="n">
        <v>0.0677</v>
      </c>
      <c r="J51" s="16" t="n">
        <f aca="false">IFERROR(INDEX('Como ler'!$B$20:$B$24,MATCH(H51,'Como ler'!$A$20:$A$24,0)),"")</f>
        <v>0.04</v>
      </c>
      <c r="K51" s="17" t="n">
        <f aca="false">IF(OR(I51="",J51=""),"",I51/J51)</f>
        <v>1.6925</v>
      </c>
      <c r="L51" s="14" t="n">
        <v>257</v>
      </c>
      <c r="M51" s="18" t="n">
        <v>10.2</v>
      </c>
      <c r="N51" s="14" t="n">
        <v>1874</v>
      </c>
      <c r="O51" s="17" t="n">
        <f aca="false">IF(OR(N51="",G51=0),"",N51/G51)</f>
        <v>0.827007943512798</v>
      </c>
      <c r="P51" s="19" t="n">
        <v>0.83</v>
      </c>
      <c r="Q51" s="20" t="n">
        <v>5.9</v>
      </c>
      <c r="R51" s="21" t="n">
        <v>46289</v>
      </c>
      <c r="S51" s="22" t="n">
        <f aca="false">IF(R51="","",'Como ler'!$B$27-R51)</f>
        <v>3</v>
      </c>
      <c r="T51" s="13" t="n">
        <v>0</v>
      </c>
      <c r="U51" s="13"/>
      <c r="V51" s="13" t="s">
        <v>42</v>
      </c>
      <c r="W51" s="13" t="s">
        <v>423</v>
      </c>
      <c r="X51" s="26" t="s">
        <v>129</v>
      </c>
      <c r="Y51" s="13" t="n">
        <f aca="false">ROUND(IF(K51="",0,MIN(40,40*K51/1.5))+IF(S51="",0,IF(S51&lt;=7,20,IF(S51&lt;=30,12,IF(S51&lt;=90,5,0))))+IF(Q51="",0,MIN(15,Q51*5))+IF(O51="",0,MIN(15,O51*30))+IF(E51="Criador(a)",10,IF(E51="Especialista que cria conteúdo",6,4)),0)</f>
        <v>100</v>
      </c>
      <c r="Z51" s="13"/>
      <c r="AA51" s="13"/>
      <c r="AB51" s="13"/>
      <c r="AC51" s="13"/>
      <c r="AD51" s="13" t="s">
        <v>232</v>
      </c>
      <c r="AE51" s="13" t="s">
        <v>424</v>
      </c>
      <c r="AF51" s="13" t="s">
        <v>425</v>
      </c>
      <c r="AG51" s="24" t="s">
        <v>426</v>
      </c>
      <c r="AH51" s="13" t="s">
        <v>100</v>
      </c>
      <c r="AI51" s="13"/>
    </row>
    <row r="52" customFormat="false" ht="15" hidden="false" customHeight="false" outlineLevel="0" collapsed="false">
      <c r="A52" s="13" t="s">
        <v>35</v>
      </c>
      <c r="B52" s="13"/>
      <c r="C52" s="13" t="s">
        <v>427</v>
      </c>
      <c r="D52" s="13" t="s">
        <v>428</v>
      </c>
      <c r="E52" s="13" t="s">
        <v>157</v>
      </c>
      <c r="F52" s="13" t="s">
        <v>29</v>
      </c>
      <c r="G52" s="14" t="n">
        <v>2203</v>
      </c>
      <c r="H52" s="13" t="s">
        <v>18</v>
      </c>
      <c r="I52" s="15" t="n">
        <v>0.0045</v>
      </c>
      <c r="J52" s="16" t="n">
        <f aca="false">IFERROR(INDEX('Como ler'!$B$20:$B$24,MATCH(H52,'Como ler'!$A$20:$A$24,0)),"")</f>
        <v>0.04</v>
      </c>
      <c r="K52" s="17" t="n">
        <f aca="false">IF(OR(I52="",J52=""),"",I52/J52)</f>
        <v>0.1125</v>
      </c>
      <c r="L52" s="14" t="n">
        <v>12</v>
      </c>
      <c r="M52" s="18" t="n">
        <v>1.4</v>
      </c>
      <c r="N52" s="14"/>
      <c r="O52" s="17" t="str">
        <f aca="false">IF(OR(N52="",G52=0),"",N52/G52)</f>
        <v/>
      </c>
      <c r="P52" s="19" t="n">
        <v>0</v>
      </c>
      <c r="Q52" s="20" t="n">
        <v>1.3</v>
      </c>
      <c r="R52" s="21" t="n">
        <v>46286</v>
      </c>
      <c r="S52" s="22" t="n">
        <f aca="false">IF(R52="","",'Como ler'!$B$27-R52)</f>
        <v>6</v>
      </c>
      <c r="T52" s="13" t="n">
        <v>0</v>
      </c>
      <c r="U52" s="13"/>
      <c r="V52" s="13" t="s">
        <v>45</v>
      </c>
      <c r="W52" s="13" t="s">
        <v>429</v>
      </c>
      <c r="X52" s="23" t="s">
        <v>94</v>
      </c>
      <c r="Y52" s="13" t="n">
        <f aca="false">ROUND(IF(K52="",0,MIN(40,40*K52/1.5))+IF(S52="",0,IF(S52&lt;=7,20,IF(S52&lt;=30,12,IF(S52&lt;=90,5,0))))+IF(Q52="",0,MIN(15,Q52*5))+IF(O52="",0,MIN(15,O52*30))+IF(E52="Criador(a)",10,IF(E52="Especialista que cria conteúdo",6,4)),0)</f>
        <v>36</v>
      </c>
      <c r="Z52" s="13" t="s">
        <v>430</v>
      </c>
      <c r="AA52" s="13"/>
      <c r="AB52" s="13" t="s">
        <v>113</v>
      </c>
      <c r="AC52" s="13"/>
      <c r="AD52" s="13" t="s">
        <v>296</v>
      </c>
      <c r="AE52" s="13" t="s">
        <v>431</v>
      </c>
      <c r="AF52" s="13" t="s">
        <v>432</v>
      </c>
      <c r="AG52" s="24" t="s">
        <v>433</v>
      </c>
      <c r="AH52" s="13" t="s">
        <v>100</v>
      </c>
      <c r="AI52" s="13"/>
    </row>
    <row r="53" customFormat="false" ht="15" hidden="false" customHeight="false" outlineLevel="0" collapsed="false">
      <c r="A53" s="13" t="s">
        <v>35</v>
      </c>
      <c r="B53" s="13" t="s">
        <v>36</v>
      </c>
      <c r="C53" s="13" t="s">
        <v>434</v>
      </c>
      <c r="D53" s="13" t="s">
        <v>435</v>
      </c>
      <c r="E53" s="13" t="s">
        <v>157</v>
      </c>
      <c r="F53" s="13" t="s">
        <v>29</v>
      </c>
      <c r="G53" s="14" t="n">
        <v>2109</v>
      </c>
      <c r="H53" s="13" t="s">
        <v>18</v>
      </c>
      <c r="I53" s="15" t="n">
        <v>0.0133</v>
      </c>
      <c r="J53" s="16" t="n">
        <f aca="false">IFERROR(INDEX('Como ler'!$B$20:$B$24,MATCH(H53,'Como ler'!$A$20:$A$24,0)),"")</f>
        <v>0.04</v>
      </c>
      <c r="K53" s="17" t="n">
        <f aca="false">IF(OR(I53="",J53=""),"",I53/J53)</f>
        <v>0.3325</v>
      </c>
      <c r="L53" s="14" t="n">
        <v>32</v>
      </c>
      <c r="M53" s="18" t="n">
        <v>2.8</v>
      </c>
      <c r="N53" s="14" t="n">
        <v>61</v>
      </c>
      <c r="O53" s="17" t="n">
        <f aca="false">IF(OR(N53="",G53=0),"",N53/G53)</f>
        <v>0.0289236605026079</v>
      </c>
      <c r="P53" s="19" t="n">
        <v>0.27</v>
      </c>
      <c r="Q53" s="20" t="n">
        <v>2.2</v>
      </c>
      <c r="R53" s="21" t="n">
        <v>46291</v>
      </c>
      <c r="S53" s="22" t="n">
        <f aca="false">IF(R53="","",'Como ler'!$B$27-R53)</f>
        <v>1</v>
      </c>
      <c r="T53" s="13" t="n">
        <v>0</v>
      </c>
      <c r="U53" s="13"/>
      <c r="V53" s="13" t="s">
        <v>52</v>
      </c>
      <c r="W53" s="13" t="s">
        <v>436</v>
      </c>
      <c r="X53" s="23" t="s">
        <v>94</v>
      </c>
      <c r="Y53" s="13" t="n">
        <f aca="false">ROUND(IF(K53="",0,MIN(40,40*K53/1.5))+IF(S53="",0,IF(S53&lt;=7,20,IF(S53&lt;=30,12,IF(S53&lt;=90,5,0))))+IF(Q53="",0,MIN(15,Q53*5))+IF(O53="",0,MIN(15,O53*30))+IF(E53="Criador(a)",10,IF(E53="Especialista que cria conteúdo",6,4)),0)</f>
        <v>47</v>
      </c>
      <c r="Z53" s="13"/>
      <c r="AA53" s="13"/>
      <c r="AB53" s="13" t="s">
        <v>113</v>
      </c>
      <c r="AC53" s="13"/>
      <c r="AD53" s="13" t="s">
        <v>387</v>
      </c>
      <c r="AE53" s="13" t="s">
        <v>437</v>
      </c>
      <c r="AF53" s="13" t="s">
        <v>438</v>
      </c>
      <c r="AG53" s="24" t="s">
        <v>439</v>
      </c>
      <c r="AH53" s="13" t="s">
        <v>100</v>
      </c>
      <c r="AI53" s="13"/>
    </row>
    <row r="54" customFormat="false" ht="15" hidden="false" customHeight="false" outlineLevel="0" collapsed="false">
      <c r="A54" s="13" t="s">
        <v>35</v>
      </c>
      <c r="B54" s="13"/>
      <c r="C54" s="13" t="s">
        <v>440</v>
      </c>
      <c r="D54" s="13" t="s">
        <v>441</v>
      </c>
      <c r="E54" s="13" t="s">
        <v>157</v>
      </c>
      <c r="F54" s="13" t="s">
        <v>28</v>
      </c>
      <c r="G54" s="14" t="n">
        <v>2074</v>
      </c>
      <c r="H54" s="13" t="s">
        <v>18</v>
      </c>
      <c r="I54" s="15" t="n">
        <v>0.0068</v>
      </c>
      <c r="J54" s="16" t="n">
        <f aca="false">IFERROR(INDEX('Como ler'!$B$20:$B$24,MATCH(H54,'Como ler'!$A$20:$A$24,0)),"")</f>
        <v>0.04</v>
      </c>
      <c r="K54" s="17" t="n">
        <f aca="false">IF(OR(I54="",J54=""),"",I54/J54)</f>
        <v>0.17</v>
      </c>
      <c r="L54" s="14" t="n">
        <v>12</v>
      </c>
      <c r="M54" s="18" t="n">
        <v>1.2</v>
      </c>
      <c r="N54" s="14" t="n">
        <v>4</v>
      </c>
      <c r="O54" s="17" t="n">
        <f aca="false">IF(OR(N54="",G54=0),"",N54/G54)</f>
        <v>0.00192864030858245</v>
      </c>
      <c r="P54" s="19" t="n">
        <v>0.11</v>
      </c>
      <c r="Q54" s="20" t="n">
        <v>0.5</v>
      </c>
      <c r="R54" s="21" t="n">
        <v>46288</v>
      </c>
      <c r="S54" s="22" t="n">
        <f aca="false">IF(R54="","",'Como ler'!$B$27-R54)</f>
        <v>4</v>
      </c>
      <c r="T54" s="13" t="n">
        <v>0</v>
      </c>
      <c r="U54" s="13"/>
      <c r="V54" s="13" t="s">
        <v>53</v>
      </c>
      <c r="W54" s="13" t="s">
        <v>442</v>
      </c>
      <c r="X54" s="26" t="s">
        <v>129</v>
      </c>
      <c r="Y54" s="13" t="n">
        <f aca="false">ROUND(IF(K54="",0,MIN(40,40*K54/1.5))+IF(S54="",0,IF(S54&lt;=7,20,IF(S54&lt;=30,12,IF(S54&lt;=90,5,0))))+IF(Q54="",0,MIN(15,Q54*5))+IF(O54="",0,MIN(15,O54*30))+IF(E54="Criador(a)",10,IF(E54="Especialista que cria conteúdo",6,4)),0)</f>
        <v>33</v>
      </c>
      <c r="Z54" s="13" t="s">
        <v>443</v>
      </c>
      <c r="AA54" s="13"/>
      <c r="AB54" s="13" t="s">
        <v>113</v>
      </c>
      <c r="AC54" s="13"/>
      <c r="AD54" s="13" t="s">
        <v>115</v>
      </c>
      <c r="AE54" s="13" t="s">
        <v>444</v>
      </c>
      <c r="AF54" s="13" t="s">
        <v>445</v>
      </c>
      <c r="AG54" s="24" t="s">
        <v>446</v>
      </c>
      <c r="AH54" s="13" t="s">
        <v>100</v>
      </c>
      <c r="AI54" s="13"/>
    </row>
    <row r="55" customFormat="false" ht="15" hidden="false" customHeight="false" outlineLevel="0" collapsed="false">
      <c r="A55" s="13" t="s">
        <v>35</v>
      </c>
      <c r="B55" s="13"/>
      <c r="C55" s="13" t="s">
        <v>447</v>
      </c>
      <c r="D55" s="13" t="s">
        <v>448</v>
      </c>
      <c r="E55" s="13" t="s">
        <v>157</v>
      </c>
      <c r="F55" s="13" t="s">
        <v>28</v>
      </c>
      <c r="G55" s="14" t="n">
        <v>2028</v>
      </c>
      <c r="H55" s="13" t="s">
        <v>18</v>
      </c>
      <c r="I55" s="15" t="n">
        <v>0.1706</v>
      </c>
      <c r="J55" s="16" t="n">
        <f aca="false">IFERROR(INDEX('Como ler'!$B$20:$B$24,MATCH(H55,'Como ler'!$A$20:$A$24,0)),"")</f>
        <v>0.04</v>
      </c>
      <c r="K55" s="17" t="n">
        <f aca="false">IF(OR(I55="",J55=""),"",I55/J55)</f>
        <v>4.265</v>
      </c>
      <c r="L55" s="14" t="n">
        <v>611</v>
      </c>
      <c r="M55" s="18" t="n">
        <v>23.3</v>
      </c>
      <c r="N55" s="14" t="n">
        <v>8807</v>
      </c>
      <c r="O55" s="17" t="n">
        <f aca="false">IF(OR(N55="",G55=0),"",N55/G55)</f>
        <v>4.34270216962525</v>
      </c>
      <c r="P55" s="19" t="n">
        <v>0.09</v>
      </c>
      <c r="Q55" s="20" t="n">
        <v>0.2</v>
      </c>
      <c r="R55" s="21" t="n">
        <v>46266</v>
      </c>
      <c r="S55" s="22" t="n">
        <f aca="false">IF(R55="","",'Como ler'!$B$27-R55)</f>
        <v>26</v>
      </c>
      <c r="T55" s="13" t="n">
        <v>0</v>
      </c>
      <c r="U55" s="13"/>
      <c r="V55" s="13" t="s">
        <v>53</v>
      </c>
      <c r="W55" s="13" t="s">
        <v>449</v>
      </c>
      <c r="X55" s="26" t="s">
        <v>129</v>
      </c>
      <c r="Y55" s="13" t="n">
        <f aca="false">ROUND(IF(K55="",0,MIN(40,40*K55/1.5))+IF(S55="",0,IF(S55&lt;=7,20,IF(S55&lt;=30,12,IF(S55&lt;=90,5,0))))+IF(Q55="",0,MIN(15,Q55*5))+IF(O55="",0,MIN(15,O55*30))+IF(E55="Criador(a)",10,IF(E55="Especialista que cria conteúdo",6,4)),0)</f>
        <v>74</v>
      </c>
      <c r="Z55" s="13"/>
      <c r="AA55" s="13"/>
      <c r="AB55" s="13" t="s">
        <v>113</v>
      </c>
      <c r="AC55" s="13"/>
      <c r="AD55" s="13" t="s">
        <v>122</v>
      </c>
      <c r="AE55" s="13" t="s">
        <v>450</v>
      </c>
      <c r="AF55" s="13" t="s">
        <v>451</v>
      </c>
      <c r="AG55" s="24" t="s">
        <v>452</v>
      </c>
      <c r="AH55" s="13" t="s">
        <v>100</v>
      </c>
      <c r="AI55" s="13"/>
    </row>
    <row r="56" customFormat="false" ht="15" hidden="false" customHeight="false" outlineLevel="0" collapsed="false">
      <c r="A56" s="13" t="s">
        <v>35</v>
      </c>
      <c r="B56" s="13"/>
      <c r="C56" s="13" t="s">
        <v>453</v>
      </c>
      <c r="D56" s="13" t="s">
        <v>454</v>
      </c>
      <c r="E56" s="13" t="s">
        <v>157</v>
      </c>
      <c r="F56" s="13" t="s">
        <v>28</v>
      </c>
      <c r="G56" s="14" t="n">
        <v>2025</v>
      </c>
      <c r="H56" s="13" t="s">
        <v>18</v>
      </c>
      <c r="I56" s="15"/>
      <c r="J56" s="16" t="n">
        <f aca="false">IFERROR(INDEX('Como ler'!$B$20:$B$24,MATCH(H56,'Como ler'!$A$20:$A$24,0)),"")</f>
        <v>0.04</v>
      </c>
      <c r="K56" s="17" t="str">
        <f aca="false">IF(OR(I56="",J56=""),"",I56/J56)</f>
        <v/>
      </c>
      <c r="L56" s="14"/>
      <c r="M56" s="18" t="n">
        <v>0</v>
      </c>
      <c r="N56" s="14"/>
      <c r="O56" s="17" t="str">
        <f aca="false">IF(OR(N56="",G56=0),"",N56/G56)</f>
        <v/>
      </c>
      <c r="P56" s="19" t="n">
        <v>0</v>
      </c>
      <c r="Q56" s="20" t="n">
        <v>3.1</v>
      </c>
      <c r="R56" s="21" t="n">
        <v>46288</v>
      </c>
      <c r="S56" s="22" t="n">
        <f aca="false">IF(R56="","",'Como ler'!$B$27-R56)</f>
        <v>4</v>
      </c>
      <c r="T56" s="13" t="n">
        <v>0</v>
      </c>
      <c r="U56" s="13"/>
      <c r="V56" s="13" t="s">
        <v>50</v>
      </c>
      <c r="W56" s="13" t="s">
        <v>455</v>
      </c>
      <c r="X56" s="23" t="s">
        <v>94</v>
      </c>
      <c r="Y56" s="13" t="n">
        <f aca="false">ROUND(IF(K56="",0,MIN(40,40*K56/1.5))+IF(S56="",0,IF(S56&lt;=7,20,IF(S56&lt;=30,12,IF(S56&lt;=90,5,0))))+IF(Q56="",0,MIN(15,Q56*5))+IF(O56="",0,MIN(15,O56*30))+IF(E56="Criador(a)",10,IF(E56="Especialista que cria conteúdo",6,4)),0)</f>
        <v>41</v>
      </c>
      <c r="Z56" s="13" t="s">
        <v>95</v>
      </c>
      <c r="AA56" s="13"/>
      <c r="AB56" s="13" t="s">
        <v>113</v>
      </c>
      <c r="AC56" s="13"/>
      <c r="AD56" s="13" t="s">
        <v>115</v>
      </c>
      <c r="AE56" s="13" t="s">
        <v>456</v>
      </c>
      <c r="AF56" s="13" t="s">
        <v>457</v>
      </c>
      <c r="AG56" s="24" t="s">
        <v>458</v>
      </c>
      <c r="AH56" s="13" t="s">
        <v>100</v>
      </c>
      <c r="AI56" s="13" t="s">
        <v>119</v>
      </c>
    </row>
    <row r="57" customFormat="false" ht="15" hidden="false" customHeight="false" outlineLevel="0" collapsed="false">
      <c r="A57" s="13" t="s">
        <v>35</v>
      </c>
      <c r="B57" s="13"/>
      <c r="C57" s="13" t="s">
        <v>459</v>
      </c>
      <c r="D57" s="13" t="s">
        <v>460</v>
      </c>
      <c r="E57" s="13" t="s">
        <v>30</v>
      </c>
      <c r="F57" s="13" t="s">
        <v>28</v>
      </c>
      <c r="G57" s="14" t="n">
        <v>1693</v>
      </c>
      <c r="H57" s="13" t="s">
        <v>18</v>
      </c>
      <c r="I57" s="15" t="n">
        <v>0.031</v>
      </c>
      <c r="J57" s="16" t="n">
        <f aca="false">IFERROR(INDEX('Como ler'!$B$20:$B$24,MATCH(H57,'Como ler'!$A$20:$A$24,0)),"")</f>
        <v>0.04</v>
      </c>
      <c r="K57" s="17" t="n">
        <f aca="false">IF(OR(I57="",J57=""),"",I57/J57)</f>
        <v>0.775</v>
      </c>
      <c r="L57" s="14" t="n">
        <v>129</v>
      </c>
      <c r="M57" s="18" t="n">
        <v>7.3</v>
      </c>
      <c r="N57" s="14" t="n">
        <v>622</v>
      </c>
      <c r="O57" s="17" t="n">
        <f aca="false">IF(OR(N57="",G57=0),"",N57/G57)</f>
        <v>0.367395156526875</v>
      </c>
      <c r="P57" s="19" t="n">
        <v>0.83</v>
      </c>
      <c r="Q57" s="20" t="n">
        <v>0.6</v>
      </c>
      <c r="R57" s="21" t="n">
        <v>46279</v>
      </c>
      <c r="S57" s="22" t="n">
        <f aca="false">IF(R57="","",'Como ler'!$B$27-R57)</f>
        <v>13</v>
      </c>
      <c r="T57" s="13" t="n">
        <v>0</v>
      </c>
      <c r="U57" s="13"/>
      <c r="V57" s="13" t="s">
        <v>53</v>
      </c>
      <c r="W57" s="13" t="s">
        <v>53</v>
      </c>
      <c r="X57" s="26" t="s">
        <v>129</v>
      </c>
      <c r="Y57" s="13" t="n">
        <f aca="false">ROUND(IF(K57="",0,MIN(40,40*K57/1.5))+IF(S57="",0,IF(S57&lt;=7,20,IF(S57&lt;=30,12,IF(S57&lt;=90,5,0))))+IF(Q57="",0,MIN(15,Q57*5))+IF(O57="",0,MIN(15,O57*30))+IF(E57="Criador(a)",10,IF(E57="Especialista que cria conteúdo",6,4)),0)</f>
        <v>57</v>
      </c>
      <c r="Z57" s="13" t="s">
        <v>289</v>
      </c>
      <c r="AA57" s="13"/>
      <c r="AB57" s="13"/>
      <c r="AC57" s="13"/>
      <c r="AD57" s="13" t="s">
        <v>290</v>
      </c>
      <c r="AE57" s="13" t="s">
        <v>461</v>
      </c>
      <c r="AF57" s="13" t="s">
        <v>462</v>
      </c>
      <c r="AG57" s="24" t="s">
        <v>463</v>
      </c>
      <c r="AH57" s="13" t="s">
        <v>100</v>
      </c>
      <c r="AI57" s="13"/>
    </row>
    <row r="58" customFormat="false" ht="15" hidden="false" customHeight="false" outlineLevel="0" collapsed="false">
      <c r="A58" s="13" t="s">
        <v>35</v>
      </c>
      <c r="B58" s="13"/>
      <c r="C58" s="13" t="s">
        <v>464</v>
      </c>
      <c r="D58" s="13" t="s">
        <v>465</v>
      </c>
      <c r="E58" s="13" t="s">
        <v>30</v>
      </c>
      <c r="F58" s="13" t="s">
        <v>29</v>
      </c>
      <c r="G58" s="14" t="n">
        <v>1399</v>
      </c>
      <c r="H58" s="13" t="s">
        <v>18</v>
      </c>
      <c r="I58" s="15" t="n">
        <v>0.0172</v>
      </c>
      <c r="J58" s="16" t="n">
        <f aca="false">IFERROR(INDEX('Como ler'!$B$20:$B$24,MATCH(H58,'Como ler'!$A$20:$A$24,0)),"")</f>
        <v>0.04</v>
      </c>
      <c r="K58" s="17" t="n">
        <f aca="false">IF(OR(I58="",J58=""),"",I58/J58)</f>
        <v>0.43</v>
      </c>
      <c r="L58" s="14" t="n">
        <v>24269</v>
      </c>
      <c r="M58" s="18" t="n">
        <v>136.3</v>
      </c>
      <c r="N58" s="14" t="n">
        <v>718</v>
      </c>
      <c r="O58" s="17" t="n">
        <f aca="false">IF(OR(N58="",G58=0),"",N58/G58)</f>
        <v>0.513223731236598</v>
      </c>
      <c r="P58" s="19" t="n">
        <v>0.83</v>
      </c>
      <c r="Q58" s="20" t="n">
        <v>0.5</v>
      </c>
      <c r="R58" s="21" t="n">
        <v>46292</v>
      </c>
      <c r="S58" s="22" t="n">
        <f aca="false">IF(R58="","",'Como ler'!$B$27-R58)</f>
        <v>0</v>
      </c>
      <c r="T58" s="13" t="n">
        <v>0</v>
      </c>
      <c r="U58" s="13"/>
      <c r="V58" s="13" t="s">
        <v>54</v>
      </c>
      <c r="W58" s="13" t="s">
        <v>54</v>
      </c>
      <c r="X58" s="25" t="s">
        <v>104</v>
      </c>
      <c r="Y58" s="13" t="n">
        <f aca="false">ROUND(IF(K58="",0,MIN(40,40*K58/1.5))+IF(S58="",0,IF(S58&lt;=7,20,IF(S58&lt;=30,12,IF(S58&lt;=90,5,0))))+IF(Q58="",0,MIN(15,Q58*5))+IF(O58="",0,MIN(15,O58*30))+IF(E58="Criador(a)",10,IF(E58="Especialista que cria conteúdo",6,4)),0)</f>
        <v>59</v>
      </c>
      <c r="Z58" s="13"/>
      <c r="AA58" s="13"/>
      <c r="AB58" s="13" t="s">
        <v>113</v>
      </c>
      <c r="AC58" s="13" t="s">
        <v>181</v>
      </c>
      <c r="AD58" s="13" t="s">
        <v>466</v>
      </c>
      <c r="AE58" s="13" t="s">
        <v>467</v>
      </c>
      <c r="AF58" s="13" t="s">
        <v>468</v>
      </c>
      <c r="AG58" s="24" t="s">
        <v>469</v>
      </c>
      <c r="AH58" s="13" t="s">
        <v>100</v>
      </c>
      <c r="AI58" s="13"/>
    </row>
    <row r="59" customFormat="false" ht="15" hidden="false" customHeight="false" outlineLevel="0" collapsed="false">
      <c r="A59" s="13" t="s">
        <v>35</v>
      </c>
      <c r="B59" s="13"/>
      <c r="C59" s="13" t="s">
        <v>470</v>
      </c>
      <c r="D59" s="13" t="s">
        <v>471</v>
      </c>
      <c r="E59" s="13" t="s">
        <v>157</v>
      </c>
      <c r="F59" s="13" t="s">
        <v>28</v>
      </c>
      <c r="G59" s="14" t="n">
        <v>1347</v>
      </c>
      <c r="H59" s="13" t="s">
        <v>18</v>
      </c>
      <c r="I59" s="15" t="n">
        <v>0.0475</v>
      </c>
      <c r="J59" s="16" t="n">
        <f aca="false">IFERROR(INDEX('Como ler'!$B$20:$B$24,MATCH(H59,'Como ler'!$A$20:$A$24,0)),"")</f>
        <v>0.04</v>
      </c>
      <c r="K59" s="17" t="n">
        <f aca="false">IF(OR(I59="",J59=""),"",I59/J59)</f>
        <v>1.1875</v>
      </c>
      <c r="L59" s="14" t="n">
        <v>52</v>
      </c>
      <c r="M59" s="18" t="n">
        <v>26.4</v>
      </c>
      <c r="N59" s="14" t="n">
        <v>187</v>
      </c>
      <c r="O59" s="17" t="n">
        <f aca="false">IF(OR(N59="",G59=0),"",N59/G59)</f>
        <v>0.138827023014105</v>
      </c>
      <c r="P59" s="19" t="n">
        <v>0.64</v>
      </c>
      <c r="Q59" s="20" t="n">
        <v>1.3</v>
      </c>
      <c r="R59" s="21" t="n">
        <v>46287</v>
      </c>
      <c r="S59" s="22" t="n">
        <f aca="false">IF(R59="","",'Como ler'!$B$27-R59)</f>
        <v>5</v>
      </c>
      <c r="T59" s="13" t="n">
        <v>0</v>
      </c>
      <c r="U59" s="13"/>
      <c r="V59" s="13" t="s">
        <v>56</v>
      </c>
      <c r="W59" s="13" t="s">
        <v>472</v>
      </c>
      <c r="X59" s="23" t="s">
        <v>94</v>
      </c>
      <c r="Y59" s="13" t="n">
        <f aca="false">ROUND(IF(K59="",0,MIN(40,40*K59/1.5))+IF(S59="",0,IF(S59&lt;=7,20,IF(S59&lt;=30,12,IF(S59&lt;=90,5,0))))+IF(Q59="",0,MIN(15,Q59*5))+IF(O59="",0,MIN(15,O59*30))+IF(E59="Criador(a)",10,IF(E59="Especialista que cria conteúdo",6,4)),0)</f>
        <v>68</v>
      </c>
      <c r="Z59" s="13"/>
      <c r="AA59" s="13"/>
      <c r="AB59" s="13"/>
      <c r="AC59" s="13"/>
      <c r="AD59" s="13" t="s">
        <v>115</v>
      </c>
      <c r="AE59" s="13" t="s">
        <v>473</v>
      </c>
      <c r="AF59" s="13" t="s">
        <v>474</v>
      </c>
      <c r="AG59" s="24" t="s">
        <v>475</v>
      </c>
      <c r="AH59" s="13" t="s">
        <v>100</v>
      </c>
      <c r="AI59" s="13"/>
    </row>
    <row r="60" customFormat="false" ht="15" hidden="false" customHeight="false" outlineLevel="0" collapsed="false">
      <c r="A60" s="13" t="s">
        <v>36</v>
      </c>
      <c r="B60" s="13" t="s">
        <v>35</v>
      </c>
      <c r="C60" s="13" t="s">
        <v>527</v>
      </c>
      <c r="D60" s="13" t="s">
        <v>528</v>
      </c>
      <c r="E60" s="13" t="s">
        <v>30</v>
      </c>
      <c r="F60" s="13" t="s">
        <v>28</v>
      </c>
      <c r="G60" s="14" t="n">
        <v>119845</v>
      </c>
      <c r="H60" s="13" t="s">
        <v>21</v>
      </c>
      <c r="I60" s="15" t="n">
        <v>0.0038</v>
      </c>
      <c r="J60" s="16" t="n">
        <f aca="false">IFERROR(INDEX('Como ler'!$B$20:$B$24,MATCH(H60,'Como ler'!$A$20:$A$24,0)),"")</f>
        <v>0.01</v>
      </c>
      <c r="K60" s="17" t="n">
        <f aca="false">IF(OR(I60="",J60=""),"",I60/J60)</f>
        <v>0.38</v>
      </c>
      <c r="L60" s="14" t="n">
        <v>489</v>
      </c>
      <c r="M60" s="18" t="n">
        <v>24.9</v>
      </c>
      <c r="N60" s="14" t="n">
        <v>9245</v>
      </c>
      <c r="O60" s="17" t="n">
        <f aca="false">IF(OR(N60="",G60=0),"",N60/G60)</f>
        <v>0.0771413075222162</v>
      </c>
      <c r="P60" s="19" t="n">
        <v>0.75</v>
      </c>
      <c r="Q60" s="20" t="n">
        <v>1.6</v>
      </c>
      <c r="R60" s="21" t="n">
        <v>46289</v>
      </c>
      <c r="S60" s="22" t="n">
        <f aca="false">IF(R60="","",'Como ler'!$B$27-R60)</f>
        <v>3</v>
      </c>
      <c r="T60" s="13" t="n">
        <v>0</v>
      </c>
      <c r="U60" s="13"/>
      <c r="V60" s="13" t="s">
        <v>46</v>
      </c>
      <c r="W60" s="13" t="s">
        <v>529</v>
      </c>
      <c r="X60" s="25" t="s">
        <v>104</v>
      </c>
      <c r="Y60" s="13" t="n">
        <f aca="false">ROUND(IF(K60="",0,MIN(40,40*K60/1.5))+IF(S60="",0,IF(S60&lt;=7,20,IF(S60&lt;=30,12,IF(S60&lt;=90,5,0))))+IF(Q60="",0,MIN(15,Q60*5))+IF(O60="",0,MIN(15,O60*30))+IF(E60="Criador(a)",10,IF(E60="Especialista que cria conteúdo",6,4)),0)</f>
        <v>50</v>
      </c>
      <c r="Z60" s="13"/>
      <c r="AA60" s="13" t="s">
        <v>113</v>
      </c>
      <c r="AB60" s="13" t="s">
        <v>113</v>
      </c>
      <c r="AC60" s="13" t="s">
        <v>130</v>
      </c>
      <c r="AD60" s="13" t="s">
        <v>530</v>
      </c>
      <c r="AE60" s="13" t="s">
        <v>531</v>
      </c>
      <c r="AF60" s="13" t="s">
        <v>532</v>
      </c>
      <c r="AG60" s="24" t="s">
        <v>533</v>
      </c>
      <c r="AH60" s="13" t="s">
        <v>100</v>
      </c>
      <c r="AI60" s="13"/>
    </row>
    <row r="61" customFormat="false" ht="15" hidden="false" customHeight="false" outlineLevel="0" collapsed="false">
      <c r="A61" s="13" t="s">
        <v>36</v>
      </c>
      <c r="B61" s="13" t="s">
        <v>35</v>
      </c>
      <c r="C61" s="13" t="s">
        <v>540</v>
      </c>
      <c r="D61" s="13" t="s">
        <v>541</v>
      </c>
      <c r="E61" s="13" t="s">
        <v>30</v>
      </c>
      <c r="F61" s="13" t="s">
        <v>28</v>
      </c>
      <c r="G61" s="14" t="n">
        <v>96473</v>
      </c>
      <c r="H61" s="13" t="s">
        <v>20</v>
      </c>
      <c r="I61" s="15" t="n">
        <v>0.0045</v>
      </c>
      <c r="J61" s="16" t="n">
        <f aca="false">IFERROR(INDEX('Como ler'!$B$20:$B$24,MATCH(H61,'Como ler'!$A$20:$A$24,0)),"")</f>
        <v>0.015</v>
      </c>
      <c r="K61" s="17" t="n">
        <f aca="false">IF(OR(I61="",J61=""),"",I61/J61)</f>
        <v>0.3</v>
      </c>
      <c r="L61" s="14" t="n">
        <v>574</v>
      </c>
      <c r="M61" s="18" t="n">
        <v>23.2</v>
      </c>
      <c r="N61" s="14" t="n">
        <v>6330</v>
      </c>
      <c r="O61" s="17" t="n">
        <f aca="false">IF(OR(N61="",G61=0),"",N61/G61)</f>
        <v>0.065614213303204</v>
      </c>
      <c r="P61" s="19" t="n">
        <v>1</v>
      </c>
      <c r="Q61" s="20" t="n">
        <v>5.1</v>
      </c>
      <c r="R61" s="21" t="n">
        <v>46291</v>
      </c>
      <c r="S61" s="22" t="n">
        <f aca="false">IF(R61="","",'Como ler'!$B$27-R61)</f>
        <v>1</v>
      </c>
      <c r="T61" s="13" t="n">
        <v>3</v>
      </c>
      <c r="U61" s="13" t="s">
        <v>542</v>
      </c>
      <c r="V61" s="13" t="s">
        <v>46</v>
      </c>
      <c r="W61" s="13" t="s">
        <v>543</v>
      </c>
      <c r="X61" s="23" t="s">
        <v>94</v>
      </c>
      <c r="Y61" s="13" t="n">
        <f aca="false">ROUND(IF(K61="",0,MIN(40,40*K61/1.5))+IF(S61="",0,IF(S61&lt;=7,20,IF(S61&lt;=30,12,IF(S61&lt;=90,5,0))))+IF(Q61="",0,MIN(15,Q61*5))+IF(O61="",0,MIN(15,O61*30))+IF(E61="Criador(a)",10,IF(E61="Especialista que cria conteúdo",6,4)),0)</f>
        <v>55</v>
      </c>
      <c r="Z61" s="13"/>
      <c r="AA61" s="13" t="s">
        <v>113</v>
      </c>
      <c r="AB61" s="13"/>
      <c r="AC61" s="13"/>
      <c r="AD61" s="13" t="s">
        <v>544</v>
      </c>
      <c r="AE61" s="13" t="s">
        <v>545</v>
      </c>
      <c r="AF61" s="13" t="s">
        <v>546</v>
      </c>
      <c r="AG61" s="24" t="s">
        <v>547</v>
      </c>
      <c r="AH61" s="13" t="s">
        <v>100</v>
      </c>
      <c r="AI61" s="13"/>
    </row>
    <row r="62" customFormat="false" ht="15" hidden="false" customHeight="false" outlineLevel="0" collapsed="false">
      <c r="A62" s="13" t="s">
        <v>36</v>
      </c>
      <c r="B62" s="13" t="s">
        <v>35</v>
      </c>
      <c r="C62" s="13" t="s">
        <v>548</v>
      </c>
      <c r="D62" s="13" t="s">
        <v>549</v>
      </c>
      <c r="E62" s="13" t="s">
        <v>30</v>
      </c>
      <c r="F62" s="13" t="s">
        <v>28</v>
      </c>
      <c r="G62" s="14" t="n">
        <v>91438</v>
      </c>
      <c r="H62" s="13" t="s">
        <v>20</v>
      </c>
      <c r="I62" s="15" t="n">
        <v>0.0013</v>
      </c>
      <c r="J62" s="16" t="n">
        <f aca="false">IFERROR(INDEX('Como ler'!$B$20:$B$24,MATCH(H62,'Como ler'!$A$20:$A$24,0)),"")</f>
        <v>0.015</v>
      </c>
      <c r="K62" s="17" t="n">
        <f aca="false">IF(OR(I62="",J62=""),"",I62/J62)</f>
        <v>0.0866666666666667</v>
      </c>
      <c r="L62" s="14" t="n">
        <v>190</v>
      </c>
      <c r="M62" s="18" t="n">
        <v>22.2</v>
      </c>
      <c r="N62" s="14" t="n">
        <v>1811</v>
      </c>
      <c r="O62" s="17" t="n">
        <f aca="false">IF(OR(N62="",G62=0),"",N62/G62)</f>
        <v>0.0198057700299657</v>
      </c>
      <c r="P62" s="19" t="n">
        <v>0.45</v>
      </c>
      <c r="Q62" s="20" t="n">
        <v>3.2</v>
      </c>
      <c r="R62" s="21" t="n">
        <v>46291</v>
      </c>
      <c r="S62" s="22" t="n">
        <f aca="false">IF(R62="","",'Como ler'!$B$27-R62)</f>
        <v>1</v>
      </c>
      <c r="T62" s="13" t="n">
        <v>0</v>
      </c>
      <c r="U62" s="13"/>
      <c r="V62" s="13" t="s">
        <v>46</v>
      </c>
      <c r="W62" s="13" t="s">
        <v>550</v>
      </c>
      <c r="X62" s="23" t="s">
        <v>94</v>
      </c>
      <c r="Y62" s="13" t="n">
        <f aca="false">ROUND(IF(K62="",0,MIN(40,40*K62/1.5))+IF(S62="",0,IF(S62&lt;=7,20,IF(S62&lt;=30,12,IF(S62&lt;=90,5,0))))+IF(Q62="",0,MIN(15,Q62*5))+IF(O62="",0,MIN(15,O62*30))+IF(E62="Criador(a)",10,IF(E62="Especialista que cria conteúdo",6,4)),0)</f>
        <v>48</v>
      </c>
      <c r="Z62" s="13"/>
      <c r="AA62" s="13" t="s">
        <v>113</v>
      </c>
      <c r="AB62" s="13"/>
      <c r="AC62" s="13"/>
      <c r="AD62" s="13" t="s">
        <v>551</v>
      </c>
      <c r="AE62" s="13" t="s">
        <v>552</v>
      </c>
      <c r="AF62" s="13" t="s">
        <v>553</v>
      </c>
      <c r="AG62" s="24" t="s">
        <v>554</v>
      </c>
      <c r="AH62" s="13" t="s">
        <v>100</v>
      </c>
      <c r="AI62" s="13"/>
    </row>
    <row r="63" customFormat="false" ht="15" hidden="false" customHeight="false" outlineLevel="0" collapsed="false">
      <c r="A63" s="13" t="s">
        <v>36</v>
      </c>
      <c r="B63" s="13" t="s">
        <v>35</v>
      </c>
      <c r="C63" s="13" t="s">
        <v>609</v>
      </c>
      <c r="D63" s="13" t="s">
        <v>610</v>
      </c>
      <c r="E63" s="13" t="s">
        <v>200</v>
      </c>
      <c r="F63" s="13" t="s">
        <v>201</v>
      </c>
      <c r="G63" s="14" t="n">
        <v>37995</v>
      </c>
      <c r="H63" s="13" t="s">
        <v>20</v>
      </c>
      <c r="I63" s="15" t="n">
        <v>0.0079</v>
      </c>
      <c r="J63" s="16" t="n">
        <f aca="false">IFERROR(INDEX('Como ler'!$B$20:$B$24,MATCH(H63,'Como ler'!$A$20:$A$24,0)),"")</f>
        <v>0.015</v>
      </c>
      <c r="K63" s="17" t="n">
        <f aca="false">IF(OR(I63="",J63=""),"",I63/J63)</f>
        <v>0.526666666666667</v>
      </c>
      <c r="L63" s="14" t="n">
        <v>3265</v>
      </c>
      <c r="M63" s="18" t="n">
        <v>83</v>
      </c>
      <c r="N63" s="14" t="n">
        <v>131</v>
      </c>
      <c r="O63" s="17" t="n">
        <f aca="false">IF(OR(N63="",G63=0),"",N63/G63)</f>
        <v>0.00344782208185288</v>
      </c>
      <c r="P63" s="19" t="n">
        <v>1</v>
      </c>
      <c r="Q63" s="20" t="n">
        <v>2.1</v>
      </c>
      <c r="R63" s="21" t="n">
        <v>46229</v>
      </c>
      <c r="S63" s="22" t="n">
        <f aca="false">IF(R63="","",'Como ler'!$B$27-R63)</f>
        <v>63</v>
      </c>
      <c r="T63" s="13" t="n">
        <v>0</v>
      </c>
      <c r="U63" s="13"/>
      <c r="V63" s="13" t="s">
        <v>57</v>
      </c>
      <c r="W63" s="13" t="s">
        <v>57</v>
      </c>
      <c r="X63" s="25" t="s">
        <v>104</v>
      </c>
      <c r="Y63" s="13" t="n">
        <f aca="false">ROUND(IF(K63="",0,MIN(40,40*K63/1.5))+IF(S63="",0,IF(S63&lt;=7,20,IF(S63&lt;=30,12,IF(S63&lt;=90,5,0))))+IF(Q63="",0,MIN(15,Q63*5))+IF(O63="",0,MIN(15,O63*30))+IF(E63="Criador(a)",10,IF(E63="Especialista que cria conteúdo",6,4)),0)</f>
        <v>34</v>
      </c>
      <c r="Z63" s="13" t="s">
        <v>289</v>
      </c>
      <c r="AA63" s="13"/>
      <c r="AB63" s="13"/>
      <c r="AC63" s="13" t="s">
        <v>130</v>
      </c>
      <c r="AD63" s="13" t="s">
        <v>611</v>
      </c>
      <c r="AE63" s="13" t="s">
        <v>612</v>
      </c>
      <c r="AF63" s="13" t="s">
        <v>613</v>
      </c>
      <c r="AG63" s="24" t="s">
        <v>614</v>
      </c>
      <c r="AH63" s="13" t="s">
        <v>100</v>
      </c>
      <c r="AI63" s="13"/>
    </row>
    <row r="64" customFormat="false" ht="15" hidden="false" customHeight="false" outlineLevel="0" collapsed="false">
      <c r="A64" s="13" t="s">
        <v>36</v>
      </c>
      <c r="B64" s="13" t="s">
        <v>35</v>
      </c>
      <c r="C64" s="13" t="s">
        <v>645</v>
      </c>
      <c r="D64" s="13" t="s">
        <v>646</v>
      </c>
      <c r="E64" s="13" t="s">
        <v>157</v>
      </c>
      <c r="F64" s="13" t="s">
        <v>28</v>
      </c>
      <c r="G64" s="14" t="n">
        <v>26203</v>
      </c>
      <c r="H64" s="13" t="s">
        <v>19</v>
      </c>
      <c r="I64" s="15" t="n">
        <v>0.02</v>
      </c>
      <c r="J64" s="16" t="n">
        <f aca="false">IFERROR(INDEX('Como ler'!$B$20:$B$24,MATCH(H64,'Como ler'!$A$20:$A$24,0)),"")</f>
        <v>0.025</v>
      </c>
      <c r="K64" s="17" t="n">
        <f aca="false">IF(OR(I64="",J64=""),"",I64/J64)</f>
        <v>0.8</v>
      </c>
      <c r="L64" s="14" t="n">
        <v>738</v>
      </c>
      <c r="M64" s="18" t="n">
        <v>8</v>
      </c>
      <c r="N64" s="14" t="n">
        <v>1466</v>
      </c>
      <c r="O64" s="17" t="n">
        <f aca="false">IF(OR(N64="",G64=0),"",N64/G64)</f>
        <v>0.0559477922375301</v>
      </c>
      <c r="P64" s="19" t="n">
        <v>0.11</v>
      </c>
      <c r="Q64" s="20" t="n">
        <v>0.8</v>
      </c>
      <c r="R64" s="21" t="n">
        <v>46250</v>
      </c>
      <c r="S64" s="22" t="n">
        <f aca="false">IF(R64="","",'Como ler'!$B$27-R64)</f>
        <v>42</v>
      </c>
      <c r="T64" s="13" t="n">
        <v>0</v>
      </c>
      <c r="U64" s="13"/>
      <c r="V64" s="13" t="s">
        <v>55</v>
      </c>
      <c r="W64" s="13" t="s">
        <v>55</v>
      </c>
      <c r="X64" s="26" t="s">
        <v>129</v>
      </c>
      <c r="Y64" s="13" t="n">
        <f aca="false">ROUND(IF(K64="",0,MIN(40,40*K64/1.5))+IF(S64="",0,IF(S64&lt;=7,20,IF(S64&lt;=30,12,IF(S64&lt;=90,5,0))))+IF(Q64="",0,MIN(15,Q64*5))+IF(O64="",0,MIN(15,O64*30))+IF(E64="Criador(a)",10,IF(E64="Especialista que cria conteúdo",6,4)),0)</f>
        <v>38</v>
      </c>
      <c r="Z64" s="13" t="s">
        <v>105</v>
      </c>
      <c r="AA64" s="13"/>
      <c r="AB64" s="13" t="s">
        <v>113</v>
      </c>
      <c r="AC64" s="13"/>
      <c r="AD64" s="13" t="s">
        <v>647</v>
      </c>
      <c r="AE64" s="13" t="s">
        <v>648</v>
      </c>
      <c r="AF64" s="13" t="s">
        <v>649</v>
      </c>
      <c r="AG64" s="24" t="s">
        <v>650</v>
      </c>
      <c r="AH64" s="13" t="s">
        <v>100</v>
      </c>
      <c r="AI64" s="13"/>
    </row>
    <row r="65" customFormat="false" ht="15" hidden="false" customHeight="false" outlineLevel="0" collapsed="false">
      <c r="A65" s="13" t="s">
        <v>36</v>
      </c>
      <c r="B65" s="13" t="s">
        <v>35</v>
      </c>
      <c r="C65" s="13" t="s">
        <v>676</v>
      </c>
      <c r="D65" s="13" t="s">
        <v>677</v>
      </c>
      <c r="E65" s="13" t="s">
        <v>30</v>
      </c>
      <c r="F65" s="13" t="s">
        <v>28</v>
      </c>
      <c r="G65" s="14" t="n">
        <v>22210</v>
      </c>
      <c r="H65" s="13" t="s">
        <v>19</v>
      </c>
      <c r="I65" s="15" t="n">
        <v>0.0009</v>
      </c>
      <c r="J65" s="16" t="n">
        <f aca="false">IFERROR(INDEX('Como ler'!$B$20:$B$24,MATCH(H65,'Como ler'!$A$20:$A$24,0)),"")</f>
        <v>0.025</v>
      </c>
      <c r="K65" s="17" t="n">
        <f aca="false">IF(OR(I65="",J65=""),"",I65/J65)</f>
        <v>0.036</v>
      </c>
      <c r="L65" s="14" t="n">
        <v>36</v>
      </c>
      <c r="M65" s="18" t="n">
        <v>2.4</v>
      </c>
      <c r="N65" s="14" t="n">
        <v>222</v>
      </c>
      <c r="O65" s="17" t="n">
        <f aca="false">IF(OR(N65="",G65=0),"",N65/G65)</f>
        <v>0.009995497523638</v>
      </c>
      <c r="P65" s="19" t="n">
        <v>1</v>
      </c>
      <c r="Q65" s="20" t="n">
        <v>6.2</v>
      </c>
      <c r="R65" s="21" t="n">
        <v>46292</v>
      </c>
      <c r="S65" s="22" t="n">
        <f aca="false">IF(R65="","",'Como ler'!$B$27-R65)</f>
        <v>0</v>
      </c>
      <c r="T65" s="13" t="n">
        <v>0</v>
      </c>
      <c r="U65" s="13"/>
      <c r="V65" s="13" t="s">
        <v>48</v>
      </c>
      <c r="W65" s="13" t="s">
        <v>678</v>
      </c>
      <c r="X65" s="25" t="s">
        <v>104</v>
      </c>
      <c r="Y65" s="13" t="n">
        <f aca="false">ROUND(IF(K65="",0,MIN(40,40*K65/1.5))+IF(S65="",0,IF(S65&lt;=7,20,IF(S65&lt;=30,12,IF(S65&lt;=90,5,0))))+IF(Q65="",0,MIN(15,Q65*5))+IF(O65="",0,MIN(15,O65*30))+IF(E65="Criador(a)",10,IF(E65="Especialista que cria conteúdo",6,4)),0)</f>
        <v>46</v>
      </c>
      <c r="Z65" s="13" t="s">
        <v>679</v>
      </c>
      <c r="AA65" s="13"/>
      <c r="AB65" s="13" t="s">
        <v>113</v>
      </c>
      <c r="AC65" s="13"/>
      <c r="AD65" s="13" t="s">
        <v>680</v>
      </c>
      <c r="AE65" s="13" t="s">
        <v>681</v>
      </c>
      <c r="AF65" s="13" t="s">
        <v>682</v>
      </c>
      <c r="AG65" s="24" t="s">
        <v>683</v>
      </c>
      <c r="AH65" s="13" t="s">
        <v>100</v>
      </c>
      <c r="AI65" s="13"/>
    </row>
    <row r="66" customFormat="false" ht="15" hidden="false" customHeight="false" outlineLevel="0" collapsed="false">
      <c r="A66" s="13" t="s">
        <v>36</v>
      </c>
      <c r="B66" s="13" t="s">
        <v>35</v>
      </c>
      <c r="C66" s="13" t="s">
        <v>770</v>
      </c>
      <c r="D66" s="13" t="s">
        <v>771</v>
      </c>
      <c r="E66" s="13" t="s">
        <v>157</v>
      </c>
      <c r="F66" s="13" t="s">
        <v>28</v>
      </c>
      <c r="G66" s="14" t="n">
        <v>7004</v>
      </c>
      <c r="H66" s="13" t="s">
        <v>19</v>
      </c>
      <c r="I66" s="15" t="n">
        <v>0.0031</v>
      </c>
      <c r="J66" s="16" t="n">
        <f aca="false">IFERROR(INDEX('Como ler'!$B$20:$B$24,MATCH(H66,'Como ler'!$A$20:$A$24,0)),"")</f>
        <v>0.025</v>
      </c>
      <c r="K66" s="17" t="n">
        <f aca="false">IF(OR(I66="",J66=""),"",I66/J66)</f>
        <v>0.124</v>
      </c>
      <c r="L66" s="14" t="n">
        <v>26</v>
      </c>
      <c r="M66" s="18" t="n">
        <v>1.3</v>
      </c>
      <c r="N66" s="14" t="n">
        <v>172</v>
      </c>
      <c r="O66" s="17" t="n">
        <f aca="false">IF(OR(N66="",G66=0),"",N66/G66)</f>
        <v>0.0245573957738435</v>
      </c>
      <c r="P66" s="19" t="n">
        <v>0.78</v>
      </c>
      <c r="Q66" s="20" t="n">
        <v>2.2</v>
      </c>
      <c r="R66" s="21" t="n">
        <v>46288</v>
      </c>
      <c r="S66" s="22" t="n">
        <f aca="false">IF(R66="","",'Como ler'!$B$27-R66)</f>
        <v>4</v>
      </c>
      <c r="T66" s="13" t="n">
        <v>0</v>
      </c>
      <c r="U66" s="13"/>
      <c r="V66" s="13" t="s">
        <v>50</v>
      </c>
      <c r="W66" s="13" t="s">
        <v>772</v>
      </c>
      <c r="X66" s="23" t="s">
        <v>94</v>
      </c>
      <c r="Y66" s="13" t="n">
        <f aca="false">ROUND(IF(K66="",0,MIN(40,40*K66/1.5))+IF(S66="",0,IF(S66&lt;=7,20,IF(S66&lt;=30,12,IF(S66&lt;=90,5,0))))+IF(Q66="",0,MIN(15,Q66*5))+IF(O66="",0,MIN(15,O66*30))+IF(E66="Criador(a)",10,IF(E66="Especialista que cria conteúdo",6,4)),0)</f>
        <v>41</v>
      </c>
      <c r="Z66" s="13" t="s">
        <v>105</v>
      </c>
      <c r="AA66" s="13"/>
      <c r="AB66" s="13" t="s">
        <v>113</v>
      </c>
      <c r="AC66" s="13" t="s">
        <v>114</v>
      </c>
      <c r="AD66" s="13" t="s">
        <v>773</v>
      </c>
      <c r="AE66" s="13" t="s">
        <v>774</v>
      </c>
      <c r="AF66" s="13" t="s">
        <v>775</v>
      </c>
      <c r="AG66" s="24" t="s">
        <v>776</v>
      </c>
      <c r="AH66" s="13" t="s">
        <v>100</v>
      </c>
      <c r="AI66" s="13"/>
    </row>
    <row r="67" customFormat="false" ht="15" hidden="false" customHeight="false" outlineLevel="0" collapsed="false">
      <c r="A67" s="13" t="s">
        <v>36</v>
      </c>
      <c r="B67" s="13" t="s">
        <v>35</v>
      </c>
      <c r="C67" s="13" t="s">
        <v>842</v>
      </c>
      <c r="D67" s="13" t="s">
        <v>843</v>
      </c>
      <c r="E67" s="13" t="s">
        <v>157</v>
      </c>
      <c r="F67" s="13" t="s">
        <v>28</v>
      </c>
      <c r="G67" s="14" t="n">
        <v>3959</v>
      </c>
      <c r="H67" s="13" t="s">
        <v>19</v>
      </c>
      <c r="I67" s="15" t="n">
        <v>0.0381</v>
      </c>
      <c r="J67" s="16" t="n">
        <f aca="false">IFERROR(INDEX('Como ler'!$B$20:$B$24,MATCH(H67,'Como ler'!$A$20:$A$24,0)),"")</f>
        <v>0.025</v>
      </c>
      <c r="K67" s="17" t="n">
        <f aca="false">IF(OR(I67="",J67=""),"",I67/J67)</f>
        <v>1.524</v>
      </c>
      <c r="L67" s="14" t="n">
        <v>280</v>
      </c>
      <c r="M67" s="18" t="n">
        <v>26.6</v>
      </c>
      <c r="N67" s="14" t="n">
        <v>2045</v>
      </c>
      <c r="O67" s="17" t="n">
        <f aca="false">IF(OR(N67="",G67=0),"",N67/G67)</f>
        <v>0.516544581965143</v>
      </c>
      <c r="P67" s="19" t="n">
        <v>0.56</v>
      </c>
      <c r="Q67" s="20" t="n">
        <v>0.6</v>
      </c>
      <c r="R67" s="21" t="n">
        <v>46287</v>
      </c>
      <c r="S67" s="22" t="n">
        <f aca="false">IF(R67="","",'Como ler'!$B$27-R67)</f>
        <v>5</v>
      </c>
      <c r="T67" s="13" t="n">
        <v>0</v>
      </c>
      <c r="U67" s="13"/>
      <c r="V67" s="13"/>
      <c r="W67" s="13"/>
      <c r="X67" s="25" t="s">
        <v>104</v>
      </c>
      <c r="Y67" s="13" t="n">
        <f aca="false">ROUND(IF(K67="",0,MIN(40,40*K67/1.5))+IF(S67="",0,IF(S67&lt;=7,20,IF(S67&lt;=30,12,IF(S67&lt;=90,5,0))))+IF(Q67="",0,MIN(15,Q67*5))+IF(O67="",0,MIN(15,O67*30))+IF(E67="Criador(a)",10,IF(E67="Especialista que cria conteúdo",6,4)),0)</f>
        <v>84</v>
      </c>
      <c r="Z67" s="13" t="s">
        <v>289</v>
      </c>
      <c r="AA67" s="13"/>
      <c r="AB67" s="13"/>
      <c r="AC67" s="13"/>
      <c r="AD67" s="13" t="s">
        <v>844</v>
      </c>
      <c r="AE67" s="13" t="s">
        <v>845</v>
      </c>
      <c r="AF67" s="13" t="s">
        <v>846</v>
      </c>
      <c r="AG67" s="24" t="s">
        <v>847</v>
      </c>
      <c r="AH67" s="13" t="s">
        <v>100</v>
      </c>
      <c r="AI67" s="13"/>
    </row>
    <row r="68" customFormat="false" ht="15" hidden="false" customHeight="false" outlineLevel="0" collapsed="false">
      <c r="A68" s="13" t="s">
        <v>36</v>
      </c>
      <c r="B68" s="13" t="s">
        <v>35</v>
      </c>
      <c r="C68" s="13" t="s">
        <v>924</v>
      </c>
      <c r="D68" s="13" t="s">
        <v>925</v>
      </c>
      <c r="E68" s="13" t="s">
        <v>157</v>
      </c>
      <c r="F68" s="13" t="s">
        <v>28</v>
      </c>
      <c r="G68" s="14" t="n">
        <v>1697</v>
      </c>
      <c r="H68" s="13" t="s">
        <v>18</v>
      </c>
      <c r="I68" s="15" t="n">
        <v>0.051</v>
      </c>
      <c r="J68" s="16" t="n">
        <f aca="false">IFERROR(INDEX('Como ler'!$B$20:$B$24,MATCH(H68,'Como ler'!$A$20:$A$24,0)),"")</f>
        <v>0.04</v>
      </c>
      <c r="K68" s="17" t="n">
        <f aca="false">IF(OR(I68="",J68=""),"",I68/J68)</f>
        <v>1.275</v>
      </c>
      <c r="L68" s="14" t="n">
        <v>83</v>
      </c>
      <c r="M68" s="18" t="n">
        <v>10.2</v>
      </c>
      <c r="N68" s="14" t="n">
        <v>800</v>
      </c>
      <c r="O68" s="17" t="n">
        <f aca="false">IF(OR(N68="",G68=0),"",N68/G68)</f>
        <v>0.47142015321155</v>
      </c>
      <c r="P68" s="19" t="n">
        <v>0.22</v>
      </c>
      <c r="Q68" s="20" t="n">
        <v>0.1</v>
      </c>
      <c r="R68" s="21" t="n">
        <v>46279</v>
      </c>
      <c r="S68" s="22" t="n">
        <f aca="false">IF(R68="","",'Como ler'!$B$27-R68)</f>
        <v>13</v>
      </c>
      <c r="T68" s="13" t="n">
        <v>0</v>
      </c>
      <c r="U68" s="13"/>
      <c r="V68" s="13" t="s">
        <v>45</v>
      </c>
      <c r="W68" s="13" t="s">
        <v>45</v>
      </c>
      <c r="X68" s="25" t="s">
        <v>104</v>
      </c>
      <c r="Y68" s="13" t="n">
        <f aca="false">ROUND(IF(K68="",0,MIN(40,40*K68/1.5))+IF(S68="",0,IF(S68&lt;=7,20,IF(S68&lt;=30,12,IF(S68&lt;=90,5,0))))+IF(Q68="",0,MIN(15,Q68*5))+IF(O68="",0,MIN(15,O68*30))+IF(E68="Criador(a)",10,IF(E68="Especialista que cria conteúdo",6,4)),0)</f>
        <v>67</v>
      </c>
      <c r="Z68" s="13" t="s">
        <v>926</v>
      </c>
      <c r="AA68" s="13"/>
      <c r="AB68" s="13" t="s">
        <v>113</v>
      </c>
      <c r="AC68" s="13" t="s">
        <v>114</v>
      </c>
      <c r="AD68" s="13" t="s">
        <v>844</v>
      </c>
      <c r="AE68" s="13" t="s">
        <v>927</v>
      </c>
      <c r="AF68" s="13" t="s">
        <v>928</v>
      </c>
      <c r="AG68" s="24" t="s">
        <v>929</v>
      </c>
      <c r="AH68" s="13" t="s">
        <v>100</v>
      </c>
      <c r="AI68" s="13"/>
    </row>
    <row r="69" customFormat="false" ht="15" hidden="false" customHeight="false" outlineLevel="0" collapsed="false">
      <c r="A69" s="13" t="s">
        <v>36</v>
      </c>
      <c r="B69" s="13" t="s">
        <v>35</v>
      </c>
      <c r="C69" s="13" t="s">
        <v>953</v>
      </c>
      <c r="D69" s="13" t="s">
        <v>954</v>
      </c>
      <c r="E69" s="13" t="s">
        <v>157</v>
      </c>
      <c r="F69" s="13" t="s">
        <v>29</v>
      </c>
      <c r="G69" s="14" t="n">
        <v>1228</v>
      </c>
      <c r="H69" s="13" t="s">
        <v>18</v>
      </c>
      <c r="I69" s="15" t="n">
        <v>0.055</v>
      </c>
      <c r="J69" s="16" t="n">
        <f aca="false">IFERROR(INDEX('Como ler'!$B$20:$B$24,MATCH(H69,'Como ler'!$A$20:$A$24,0)),"")</f>
        <v>0.04</v>
      </c>
      <c r="K69" s="17" t="n">
        <f aca="false">IF(OR(I69="",J69=""),"",I69/J69)</f>
        <v>1.375</v>
      </c>
      <c r="L69" s="14" t="n">
        <v>56</v>
      </c>
      <c r="M69" s="18" t="n">
        <v>10.5</v>
      </c>
      <c r="N69" s="14" t="n">
        <v>179</v>
      </c>
      <c r="O69" s="17" t="n">
        <f aca="false">IF(OR(N69="",G69=0),"",N69/G69)</f>
        <v>0.145765472312704</v>
      </c>
      <c r="P69" s="19" t="n">
        <v>0.25</v>
      </c>
      <c r="Q69" s="20" t="n">
        <v>2.2</v>
      </c>
      <c r="R69" s="21" t="n">
        <v>46272</v>
      </c>
      <c r="S69" s="22" t="n">
        <f aca="false">IF(R69="","",'Como ler'!$B$27-R69)</f>
        <v>20</v>
      </c>
      <c r="T69" s="13" t="n">
        <v>0</v>
      </c>
      <c r="U69" s="13"/>
      <c r="V69" s="13" t="s">
        <v>45</v>
      </c>
      <c r="W69" s="13" t="s">
        <v>955</v>
      </c>
      <c r="X69" s="23" t="s">
        <v>94</v>
      </c>
      <c r="Y69" s="13" t="n">
        <f aca="false">ROUND(IF(K69="",0,MIN(40,40*K69/1.5))+IF(S69="",0,IF(S69&lt;=7,20,IF(S69&lt;=30,12,IF(S69&lt;=90,5,0))))+IF(Q69="",0,MIN(15,Q69*5))+IF(O69="",0,MIN(15,O69*30))+IF(E69="Criador(a)",10,IF(E69="Especialista que cria conteúdo",6,4)),0)</f>
        <v>70</v>
      </c>
      <c r="Z69" s="13" t="s">
        <v>355</v>
      </c>
      <c r="AA69" s="13"/>
      <c r="AB69" s="13"/>
      <c r="AC69" s="13"/>
      <c r="AD69" s="13" t="s">
        <v>956</v>
      </c>
      <c r="AE69" s="13" t="s">
        <v>957</v>
      </c>
      <c r="AF69" s="13" t="s">
        <v>958</v>
      </c>
      <c r="AG69" s="24" t="s">
        <v>959</v>
      </c>
      <c r="AH69" s="13" t="s">
        <v>100</v>
      </c>
      <c r="AI69" s="13"/>
    </row>
  </sheetData>
  <autoFilter ref="A1:AI69"/>
  <dataValidations count="1">
    <dataValidation allowBlank="true" errorStyle="stop" operator="between" showDropDown="false" showErrorMessage="false" showInputMessage="false" sqref="AH2:AH69" type="list">
      <formula1>"Não contatada,DM enviada,Respondeu,Negociando,Fechada,Recusou,Descartada"</formula1>
      <formula2>0</formula2>
    </dataValidation>
  </dataValidations>
  <hyperlinks>
    <hyperlink ref="AG2" r:id="rId1" display="https://instagram.com/thaisedemari"/>
    <hyperlink ref="AG3" r:id="rId2" display="https://instagram.com/lucasmirandasc"/>
    <hyperlink ref="AG4" r:id="rId3" display="https://instagram.com/superdicasnaestrada"/>
    <hyperlink ref="AG5" r:id="rId4" display="https://instagram.com/raissaarcanjo"/>
    <hyperlink ref="AG6" r:id="rId5" display="https://instagram.com/itajaisc_"/>
    <hyperlink ref="AG7" r:id="rId6" display="https://instagram.com/nubiakatyoficial"/>
    <hyperlink ref="AG8" r:id="rId7" display="https://instagram.com/eogriilo"/>
    <hyperlink ref="AG9" r:id="rId8" display="https://instagram.com/gabryelnuness"/>
    <hyperlink ref="AG10" r:id="rId9" display="https://instagram.com/julianadomareski"/>
    <hyperlink ref="AG11" r:id="rId10" display="https://instagram.com/gabyoliveirasc"/>
    <hyperlink ref="AG12" r:id="rId11" display="https://instagram.com/tatypassos__"/>
    <hyperlink ref="AG13" r:id="rId12" display="https://instagram.com/toemdrika"/>
    <hyperlink ref="AG14" r:id="rId13" display="https://instagram.com/mordomorodrigo_oficial"/>
    <hyperlink ref="AG15" r:id="rId14" display="https://instagram.com/herique.finatto"/>
    <hyperlink ref="AG16" r:id="rId15" display="https://instagram.com/shophome.brasil"/>
    <hyperlink ref="AG17" r:id="rId16" display="https://instagram.com/isabelaonofre"/>
    <hyperlink ref="AG18" r:id="rId17" display="https://instagram.com/bevieiraa"/>
    <hyperlink ref="AG19" r:id="rId18" display="https://instagram.com/melissagmenezes"/>
    <hyperlink ref="AG20" r:id="rId19" display="https://instagram.com/divulgaitajai"/>
    <hyperlink ref="AG21" r:id="rId20" display="https://instagram.com/solaynesantos"/>
    <hyperlink ref="AG22" r:id="rId21" display="https://instagram.com/brigadeiroealecrim"/>
    <hyperlink ref="AG23" r:id="rId22" display="https://instagram.com/eubarbaraabreu"/>
    <hyperlink ref="AG24" r:id="rId23" display="https://instagram.com/omelhordeitajai"/>
    <hyperlink ref="AG25" r:id="rId24" display="https://instagram.com/lu.monaly"/>
    <hyperlink ref="AG26" r:id="rId25" display="https://instagram.com/cademinhascoisas"/>
    <hyperlink ref="AG27" r:id="rId26" display="https://instagram.com/bruna_alika"/>
    <hyperlink ref="AG28" r:id="rId27" display="https://instagram.com/millycristt"/>
    <hyperlink ref="AG29" r:id="rId28" display="https://instagram.com/thais_araujo.7"/>
    <hyperlink ref="AG30" r:id="rId29" display="https://instagram.com/gabxmelo"/>
    <hyperlink ref="AG31" r:id="rId30" display="https://instagram.com/joanakathelen"/>
    <hyperlink ref="AG32" r:id="rId31" display="https://instagram.com/n1kx_x"/>
    <hyperlink ref="AG33" r:id="rId32" display="https://instagram.com/itajaimilgr4u"/>
    <hyperlink ref="AG34" r:id="rId33" display="https://instagram.com/danielipickering"/>
    <hyperlink ref="AG35" r:id="rId34" display="https://instagram.com/ana_paula_videomaker"/>
    <hyperlink ref="AG36" r:id="rId35" display="https://instagram.com/marcelabontorin"/>
    <hyperlink ref="AG37" r:id="rId36" display="https://instagram.com/tonsdeana"/>
    <hyperlink ref="AG38" r:id="rId37" display="https://instagram.com/brunasamanthas"/>
    <hyperlink ref="AG39" r:id="rId38" display="https://instagram.com/andreza.marinho_22"/>
    <hyperlink ref="AG40" r:id="rId39" display="https://instagram.com/brunoleon.blm"/>
    <hyperlink ref="AG41" r:id="rId40" display="https://instagram.com/karinawbauer"/>
    <hyperlink ref="AG42" r:id="rId41" display="https://instagram.com/rurikdrone"/>
    <hyperlink ref="AG43" r:id="rId42" display="https://instagram.com/annacarolgarimpo"/>
    <hyperlink ref="AG44" r:id="rId43" display="https://instagram.com/enfbapereira"/>
    <hyperlink ref="AG45" r:id="rId44" display="https://instagram.com/isabbelle_m"/>
    <hyperlink ref="AG46" r:id="rId45" display="https://instagram.com/eudanielabonet"/>
    <hyperlink ref="AG47" r:id="rId46" display="https://instagram.com/psicologademae"/>
    <hyperlink ref="AG48" r:id="rId47" display="https://instagram.com/rafaeldoutore"/>
    <hyperlink ref="AG49" r:id="rId48" display="https://instagram.com/treinador_veiga"/>
    <hyperlink ref="AG50" r:id="rId49" display="https://instagram.com/clebercoragem"/>
    <hyperlink ref="AG51" r:id="rId50" display="https://instagram.com/amandadumbrofsqui"/>
    <hyperlink ref="AG52" r:id="rId51" display="https://instagram.com/leandrogatelli_personal"/>
    <hyperlink ref="AG53" r:id="rId52" display="https://instagram.com/ddiegoo.martins"/>
    <hyperlink ref="AG54" r:id="rId53" display="https://instagram.com/silviaandreamota"/>
    <hyperlink ref="AG55" r:id="rId54" display="https://instagram.com/doulacriscurvello"/>
    <hyperlink ref="AG56" r:id="rId55" display="https://instagram.com/personalorganizer.karen"/>
    <hyperlink ref="AG57" r:id="rId56" display="https://instagram.com/byleticiagartner"/>
    <hyperlink ref="AG58" r:id="rId57" display="https://instagram.com/o.clebernunes"/>
    <hyperlink ref="AG59" r:id="rId58" display="https://instagram.com/brunamarqes"/>
    <hyperlink ref="AG60" r:id="rId59" display="https://instagram.com/ondeirbc"/>
    <hyperlink ref="AG61" r:id="rId60" display="https://instagram.com/coisasquecomo"/>
    <hyperlink ref="AG62" r:id="rId61" display="https://instagram.com/eucarolinaalbuquerque"/>
    <hyperlink ref="AG63" r:id="rId62" display="https://instagram.com/balneariomilgrau_"/>
    <hyperlink ref="AG64" r:id="rId63" display="https://instagram.com/vivipotrich"/>
    <hyperlink ref="AG65" r:id="rId64" display="https://instagram.com/lidianyazevedocantora"/>
    <hyperlink ref="AG66" r:id="rId65" display="https://instagram.com/patriciasilvaorganizer"/>
    <hyperlink ref="AG67" r:id="rId66" display="https://instagram.com/_camilaaltenhofen"/>
    <hyperlink ref="AG68" r:id="rId67" display="https://instagram.com/personalpaulaff"/>
    <hyperlink ref="AG69" r:id="rId68" display="https://instagram.com/carlos89marti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24"/>
    <col collapsed="false" customWidth="true" hidden="false" outlineLevel="0" max="22" min="22" style="0" width="20"/>
    <col collapsed="false" customWidth="true" hidden="false" outlineLevel="0" max="23" min="23" style="0" width="40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18"/>
    <col collapsed="false" customWidth="true" hidden="false" outlineLevel="0" max="28" min="27" style="0" width="8"/>
    <col collapsed="false" customWidth="true" hidden="false" outlineLevel="0" max="29" min="29" style="0" width="14"/>
    <col collapsed="false" customWidth="true" hidden="false" outlineLevel="0" max="30" min="30" style="0" width="34"/>
    <col collapsed="false" customWidth="true" hidden="false" outlineLevel="0" max="31" min="31" style="0" width="40"/>
    <col collapsed="false" customWidth="true" hidden="false" outlineLevel="0" max="32" min="32" style="0" width="60"/>
    <col collapsed="false" customWidth="true" hidden="false" outlineLevel="0" max="33" min="33" style="0" width="30"/>
    <col collapsed="false" customWidth="true" hidden="false" outlineLevel="0" max="34" min="34" style="0" width="14"/>
    <col collapsed="false" customWidth="true" hidden="false" outlineLevel="0" max="35" min="35" style="0" width="30"/>
  </cols>
  <sheetData>
    <row r="1" customFormat="false" ht="31.5" hidden="false" customHeight="true" outlineLevel="0" collapsed="false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30</v>
      </c>
      <c r="G1" s="12" t="s">
        <v>63</v>
      </c>
      <c r="H1" s="12" t="s">
        <v>16</v>
      </c>
      <c r="I1" s="12" t="s">
        <v>64</v>
      </c>
      <c r="J1" s="12" t="s">
        <v>65</v>
      </c>
      <c r="K1" s="12" t="s">
        <v>66</v>
      </c>
      <c r="L1" s="12" t="s">
        <v>67</v>
      </c>
      <c r="M1" s="12" t="s">
        <v>68</v>
      </c>
      <c r="N1" s="12" t="s">
        <v>69</v>
      </c>
      <c r="O1" s="12" t="s">
        <v>70</v>
      </c>
      <c r="P1" s="12" t="s">
        <v>71</v>
      </c>
      <c r="Q1" s="12" t="s">
        <v>72</v>
      </c>
      <c r="R1" s="12" t="s">
        <v>73</v>
      </c>
      <c r="S1" s="12" t="s">
        <v>74</v>
      </c>
      <c r="T1" s="12" t="s">
        <v>75</v>
      </c>
      <c r="U1" s="12" t="s">
        <v>76</v>
      </c>
      <c r="V1" s="12" t="s">
        <v>77</v>
      </c>
      <c r="W1" s="12" t="s">
        <v>78</v>
      </c>
      <c r="X1" s="12" t="s">
        <v>79</v>
      </c>
      <c r="Y1" s="12" t="s">
        <v>80</v>
      </c>
      <c r="Z1" s="12" t="s">
        <v>81</v>
      </c>
      <c r="AA1" s="12" t="s">
        <v>82</v>
      </c>
      <c r="AB1" s="12" t="s">
        <v>83</v>
      </c>
      <c r="AC1" s="12" t="s">
        <v>84</v>
      </c>
      <c r="AD1" s="12" t="s">
        <v>85</v>
      </c>
      <c r="AE1" s="12" t="s">
        <v>86</v>
      </c>
      <c r="AF1" s="12" t="s">
        <v>87</v>
      </c>
      <c r="AG1" s="12" t="s">
        <v>88</v>
      </c>
      <c r="AH1" s="12" t="s">
        <v>89</v>
      </c>
      <c r="AI1" s="12" t="s">
        <v>90</v>
      </c>
    </row>
    <row r="2" customFormat="false" ht="15" hidden="false" customHeight="false" outlineLevel="0" collapsed="false">
      <c r="A2" s="13" t="s">
        <v>35</v>
      </c>
      <c r="B2" s="13" t="s">
        <v>36</v>
      </c>
      <c r="C2" s="13" t="s">
        <v>155</v>
      </c>
      <c r="D2" s="13" t="s">
        <v>156</v>
      </c>
      <c r="E2" s="13" t="s">
        <v>157</v>
      </c>
      <c r="F2" s="13" t="s">
        <v>28</v>
      </c>
      <c r="G2" s="14" t="n">
        <v>65364</v>
      </c>
      <c r="H2" s="13" t="s">
        <v>20</v>
      </c>
      <c r="I2" s="15" t="n">
        <v>0.0039</v>
      </c>
      <c r="J2" s="16" t="n">
        <f aca="false">IFERROR(INDEX('Como ler'!$B$20:$B$24,MATCH(H2,'Como ler'!$A$20:$A$24,0)),"")</f>
        <v>0.015</v>
      </c>
      <c r="K2" s="17" t="n">
        <f aca="false">IF(OR(I2="",J2=""),"",I2/J2)</f>
        <v>0.26</v>
      </c>
      <c r="L2" s="14" t="n">
        <v>339</v>
      </c>
      <c r="M2" s="18" t="n">
        <v>7.1</v>
      </c>
      <c r="N2" s="14" t="n">
        <v>5204</v>
      </c>
      <c r="O2" s="17" t="n">
        <f aca="false">IF(OR(N2="",G2=0),"",N2/G2)</f>
        <v>0.0796156905942109</v>
      </c>
      <c r="P2" s="19" t="n">
        <v>0.7</v>
      </c>
      <c r="Q2" s="20" t="n">
        <v>2.1</v>
      </c>
      <c r="R2" s="21" t="n">
        <v>46291</v>
      </c>
      <c r="S2" s="22" t="n">
        <f aca="false">IF(R2="","",'Como ler'!$B$27-R2)</f>
        <v>1</v>
      </c>
      <c r="T2" s="13" t="n">
        <v>0</v>
      </c>
      <c r="U2" s="13"/>
      <c r="V2" s="13" t="s">
        <v>47</v>
      </c>
      <c r="W2" s="13" t="s">
        <v>158</v>
      </c>
      <c r="X2" s="23" t="s">
        <v>94</v>
      </c>
      <c r="Y2" s="13" t="n">
        <f aca="false">ROUND(IF(K2="",0,MIN(40,40*K2/1.5))+IF(S2="",0,IF(S2&lt;=7,20,IF(S2&lt;=30,12,IF(S2&lt;=90,5,0))))+IF(Q2="",0,MIN(15,Q2*5))+IF(O2="",0,MIN(15,O2*30))+IF(E2="Criador(a)",10,IF(E2="Especialista que cria conteúdo",6,4)),0)</f>
        <v>46</v>
      </c>
      <c r="Z2" s="13" t="s">
        <v>159</v>
      </c>
      <c r="AA2" s="13" t="s">
        <v>113</v>
      </c>
      <c r="AB2" s="13" t="s">
        <v>113</v>
      </c>
      <c r="AC2" s="13"/>
      <c r="AD2" s="13" t="s">
        <v>160</v>
      </c>
      <c r="AE2" s="13" t="s">
        <v>161</v>
      </c>
      <c r="AF2" s="13" t="s">
        <v>162</v>
      </c>
      <c r="AG2" s="24" t="s">
        <v>163</v>
      </c>
      <c r="AH2" s="13" t="s">
        <v>100</v>
      </c>
      <c r="AI2" s="13"/>
    </row>
    <row r="3" customFormat="false" ht="15" hidden="false" customHeight="false" outlineLevel="0" collapsed="false">
      <c r="A3" s="13" t="s">
        <v>35</v>
      </c>
      <c r="B3" s="13" t="s">
        <v>36</v>
      </c>
      <c r="C3" s="13" t="s">
        <v>170</v>
      </c>
      <c r="D3" s="13" t="s">
        <v>171</v>
      </c>
      <c r="E3" s="13" t="s">
        <v>30</v>
      </c>
      <c r="F3" s="13" t="s">
        <v>28</v>
      </c>
      <c r="G3" s="14" t="n">
        <v>48271</v>
      </c>
      <c r="H3" s="13" t="s">
        <v>20</v>
      </c>
      <c r="I3" s="15" t="n">
        <v>0.0009</v>
      </c>
      <c r="J3" s="16" t="n">
        <f aca="false">IFERROR(INDEX('Como ler'!$B$20:$B$24,MATCH(H3,'Como ler'!$A$20:$A$24,0)),"")</f>
        <v>0.015</v>
      </c>
      <c r="K3" s="17" t="n">
        <f aca="false">IF(OR(I3="",J3=""),"",I3/J3)</f>
        <v>0.06</v>
      </c>
      <c r="L3" s="14" t="n">
        <v>37</v>
      </c>
      <c r="M3" s="18" t="n">
        <v>7</v>
      </c>
      <c r="N3" s="14" t="n">
        <v>286</v>
      </c>
      <c r="O3" s="17" t="n">
        <f aca="false">IF(OR(N3="",G3=0),"",N3/G3)</f>
        <v>0.00592488243458806</v>
      </c>
      <c r="P3" s="19" t="n">
        <v>0.56</v>
      </c>
      <c r="Q3" s="20" t="n">
        <v>0.8</v>
      </c>
      <c r="R3" s="21" t="n">
        <v>46292</v>
      </c>
      <c r="S3" s="22" t="n">
        <f aca="false">IF(R3="","",'Como ler'!$B$27-R3)</f>
        <v>0</v>
      </c>
      <c r="T3" s="13" t="n">
        <v>0</v>
      </c>
      <c r="U3" s="13"/>
      <c r="V3" s="13" t="s">
        <v>46</v>
      </c>
      <c r="W3" s="13" t="s">
        <v>172</v>
      </c>
      <c r="X3" s="23" t="s">
        <v>94</v>
      </c>
      <c r="Y3" s="13" t="n">
        <f aca="false">ROUND(IF(K3="",0,MIN(40,40*K3/1.5))+IF(S3="",0,IF(S3&lt;=7,20,IF(S3&lt;=30,12,IF(S3&lt;=90,5,0))))+IF(Q3="",0,MIN(15,Q3*5))+IF(O3="",0,MIN(15,O3*30))+IF(E3="Criador(a)",10,IF(E3="Especialista que cria conteúdo",6,4)),0)</f>
        <v>36</v>
      </c>
      <c r="Z3" s="13" t="s">
        <v>105</v>
      </c>
      <c r="AA3" s="13"/>
      <c r="AB3" s="13" t="s">
        <v>113</v>
      </c>
      <c r="AC3" s="13"/>
      <c r="AD3" s="13" t="s">
        <v>173</v>
      </c>
      <c r="AE3" s="13" t="s">
        <v>174</v>
      </c>
      <c r="AF3" s="13" t="s">
        <v>175</v>
      </c>
      <c r="AG3" s="24" t="s">
        <v>176</v>
      </c>
      <c r="AH3" s="13" t="s">
        <v>100</v>
      </c>
      <c r="AI3" s="13"/>
    </row>
    <row r="4" customFormat="false" ht="15" hidden="false" customHeight="false" outlineLevel="0" collapsed="false">
      <c r="A4" s="13" t="s">
        <v>35</v>
      </c>
      <c r="B4" s="13" t="s">
        <v>36</v>
      </c>
      <c r="C4" s="13" t="s">
        <v>198</v>
      </c>
      <c r="D4" s="13" t="s">
        <v>199</v>
      </c>
      <c r="E4" s="13" t="s">
        <v>200</v>
      </c>
      <c r="F4" s="13" t="s">
        <v>201</v>
      </c>
      <c r="G4" s="14" t="n">
        <v>20687</v>
      </c>
      <c r="H4" s="13" t="s">
        <v>19</v>
      </c>
      <c r="I4" s="15" t="n">
        <v>0.0019</v>
      </c>
      <c r="J4" s="16" t="n">
        <f aca="false">IFERROR(INDEX('Como ler'!$B$20:$B$24,MATCH(H4,'Como ler'!$A$20:$A$24,0)),"")</f>
        <v>0.025</v>
      </c>
      <c r="K4" s="17" t="n">
        <f aca="false">IF(OR(I4="",J4=""),"",I4/J4)</f>
        <v>0.076</v>
      </c>
      <c r="L4" s="14" t="n">
        <v>40</v>
      </c>
      <c r="M4" s="18" t="n">
        <v>7.8</v>
      </c>
      <c r="N4" s="14" t="n">
        <v>867</v>
      </c>
      <c r="O4" s="17" t="n">
        <f aca="false">IF(OR(N4="",G4=0),"",N4/G4)</f>
        <v>0.041910378498574</v>
      </c>
      <c r="P4" s="19" t="n">
        <v>1</v>
      </c>
      <c r="Q4" s="20" t="n">
        <v>2.4</v>
      </c>
      <c r="R4" s="21" t="n">
        <v>45935</v>
      </c>
      <c r="S4" s="22" t="n">
        <f aca="false">IF(R4="","",'Como ler'!$B$27-R4)</f>
        <v>357</v>
      </c>
      <c r="T4" s="13" t="n">
        <v>0</v>
      </c>
      <c r="U4" s="13"/>
      <c r="V4" s="13" t="s">
        <v>48</v>
      </c>
      <c r="W4" s="13" t="s">
        <v>202</v>
      </c>
      <c r="X4" s="23" t="s">
        <v>94</v>
      </c>
      <c r="Y4" s="13" t="n">
        <f aca="false">ROUND(IF(K4="",0,MIN(40,40*K4/1.5))+IF(S4="",0,IF(S4&lt;=7,20,IF(S4&lt;=30,12,IF(S4&lt;=90,5,0))))+IF(Q4="",0,MIN(15,Q4*5))+IF(O4="",0,MIN(15,O4*30))+IF(E4="Criador(a)",10,IF(E4="Especialista que cria conteúdo",6,4)),0)</f>
        <v>19</v>
      </c>
      <c r="Z4" s="13" t="s">
        <v>159</v>
      </c>
      <c r="AA4" s="13"/>
      <c r="AB4" s="13" t="s">
        <v>113</v>
      </c>
      <c r="AC4" s="13"/>
      <c r="AD4" s="13" t="s">
        <v>203</v>
      </c>
      <c r="AE4" s="13"/>
      <c r="AF4" s="13" t="s">
        <v>204</v>
      </c>
      <c r="AG4" s="24" t="s">
        <v>205</v>
      </c>
      <c r="AH4" s="13" t="s">
        <v>100</v>
      </c>
      <c r="AI4" s="13"/>
    </row>
    <row r="5" customFormat="false" ht="15" hidden="false" customHeight="false" outlineLevel="0" collapsed="false">
      <c r="A5" s="13" t="s">
        <v>35</v>
      </c>
      <c r="B5" s="13" t="s">
        <v>36</v>
      </c>
      <c r="C5" s="13" t="s">
        <v>206</v>
      </c>
      <c r="D5" s="13" t="s">
        <v>207</v>
      </c>
      <c r="E5" s="13" t="s">
        <v>30</v>
      </c>
      <c r="F5" s="13" t="s">
        <v>28</v>
      </c>
      <c r="G5" s="14" t="n">
        <v>20124</v>
      </c>
      <c r="H5" s="13" t="s">
        <v>19</v>
      </c>
      <c r="I5" s="15" t="n">
        <v>0.0049</v>
      </c>
      <c r="J5" s="16" t="n">
        <f aca="false">IFERROR(INDEX('Como ler'!$B$20:$B$24,MATCH(H5,'Como ler'!$A$20:$A$24,0)),"")</f>
        <v>0.025</v>
      </c>
      <c r="K5" s="17" t="n">
        <f aca="false">IF(OR(I5="",J5=""),"",I5/J5)</f>
        <v>0.196</v>
      </c>
      <c r="L5" s="14" t="n">
        <v>80</v>
      </c>
      <c r="M5" s="18" t="n">
        <v>32.9</v>
      </c>
      <c r="N5" s="14" t="n">
        <v>845</v>
      </c>
      <c r="O5" s="17" t="n">
        <f aca="false">IF(OR(N5="",G5=0),"",N5/G5)</f>
        <v>0.0419896640826873</v>
      </c>
      <c r="P5" s="19" t="n">
        <v>0.89</v>
      </c>
      <c r="Q5" s="20" t="n">
        <v>5.1</v>
      </c>
      <c r="R5" s="21" t="n">
        <v>46292</v>
      </c>
      <c r="S5" s="22" t="n">
        <f aca="false">IF(R5="","",'Como ler'!$B$27-R5)</f>
        <v>0</v>
      </c>
      <c r="T5" s="13" t="n">
        <v>0</v>
      </c>
      <c r="U5" s="13"/>
      <c r="V5" s="13" t="s">
        <v>45</v>
      </c>
      <c r="W5" s="13" t="s">
        <v>208</v>
      </c>
      <c r="X5" s="26" t="s">
        <v>129</v>
      </c>
      <c r="Y5" s="13" t="n">
        <f aca="false">ROUND(IF(K5="",0,MIN(40,40*K5/1.5))+IF(S5="",0,IF(S5&lt;=7,20,IF(S5&lt;=30,12,IF(S5&lt;=90,5,0))))+IF(Q5="",0,MIN(15,Q5*5))+IF(O5="",0,MIN(15,O5*30))+IF(E5="Criador(a)",10,IF(E5="Especialista que cria conteúdo",6,4)),0)</f>
        <v>51</v>
      </c>
      <c r="Z5" s="13"/>
      <c r="AA5" s="13" t="s">
        <v>113</v>
      </c>
      <c r="AB5" s="13"/>
      <c r="AC5" s="13" t="s">
        <v>181</v>
      </c>
      <c r="AD5" s="13" t="s">
        <v>209</v>
      </c>
      <c r="AE5" s="13" t="s">
        <v>210</v>
      </c>
      <c r="AF5" s="13" t="s">
        <v>211</v>
      </c>
      <c r="AG5" s="24" t="s">
        <v>212</v>
      </c>
      <c r="AH5" s="13" t="s">
        <v>100</v>
      </c>
      <c r="AI5" s="13"/>
    </row>
    <row r="6" customFormat="false" ht="15" hidden="false" customHeight="false" outlineLevel="0" collapsed="false">
      <c r="A6" s="13" t="s">
        <v>35</v>
      </c>
      <c r="B6" s="13" t="s">
        <v>36</v>
      </c>
      <c r="C6" s="13" t="s">
        <v>236</v>
      </c>
      <c r="D6" s="13" t="s">
        <v>237</v>
      </c>
      <c r="E6" s="13" t="s">
        <v>30</v>
      </c>
      <c r="F6" s="13" t="s">
        <v>28</v>
      </c>
      <c r="G6" s="14" t="n">
        <v>13517</v>
      </c>
      <c r="H6" s="13" t="s">
        <v>19</v>
      </c>
      <c r="I6" s="15" t="n">
        <v>0.0056</v>
      </c>
      <c r="J6" s="16" t="n">
        <f aca="false">IFERROR(INDEX('Como ler'!$B$20:$B$24,MATCH(H6,'Como ler'!$A$20:$A$24,0)),"")</f>
        <v>0.025</v>
      </c>
      <c r="K6" s="17" t="n">
        <f aca="false">IF(OR(I6="",J6=""),"",I6/J6)</f>
        <v>0.224</v>
      </c>
      <c r="L6" s="14" t="n">
        <v>591</v>
      </c>
      <c r="M6" s="18" t="n">
        <v>17.8</v>
      </c>
      <c r="N6" s="14" t="n">
        <v>621</v>
      </c>
      <c r="O6" s="17" t="n">
        <f aca="false">IF(OR(N6="",G6=0),"",N6/G6)</f>
        <v>0.0459421469260931</v>
      </c>
      <c r="P6" s="19" t="n">
        <v>0.67</v>
      </c>
      <c r="Q6" s="20" t="n">
        <v>4</v>
      </c>
      <c r="R6" s="21" t="n">
        <v>46290</v>
      </c>
      <c r="S6" s="22" t="n">
        <f aca="false">IF(R6="","",'Como ler'!$B$27-R6)</f>
        <v>2</v>
      </c>
      <c r="T6" s="13" t="n">
        <v>0</v>
      </c>
      <c r="U6" s="13"/>
      <c r="V6" s="13" t="s">
        <v>46</v>
      </c>
      <c r="W6" s="13" t="s">
        <v>238</v>
      </c>
      <c r="X6" s="23" t="s">
        <v>94</v>
      </c>
      <c r="Y6" s="13" t="n">
        <f aca="false">ROUND(IF(K6="",0,MIN(40,40*K6/1.5))+IF(S6="",0,IF(S6&lt;=7,20,IF(S6&lt;=30,12,IF(S6&lt;=90,5,0))))+IF(Q6="",0,MIN(15,Q6*5))+IF(O6="",0,MIN(15,O6*30))+IF(E6="Criador(a)",10,IF(E6="Especialista que cria conteúdo",6,4)),0)</f>
        <v>52</v>
      </c>
      <c r="Z6" s="13" t="s">
        <v>105</v>
      </c>
      <c r="AA6" s="13"/>
      <c r="AB6" s="13"/>
      <c r="AC6" s="13" t="s">
        <v>181</v>
      </c>
      <c r="AD6" s="13" t="s">
        <v>239</v>
      </c>
      <c r="AE6" s="13" t="s">
        <v>240</v>
      </c>
      <c r="AF6" s="13" t="s">
        <v>241</v>
      </c>
      <c r="AG6" s="24" t="s">
        <v>242</v>
      </c>
      <c r="AH6" s="13" t="s">
        <v>100</v>
      </c>
      <c r="AI6" s="13"/>
    </row>
    <row r="7" customFormat="false" ht="15" hidden="false" customHeight="false" outlineLevel="0" collapsed="false">
      <c r="A7" s="13" t="s">
        <v>35</v>
      </c>
      <c r="B7" s="13" t="s">
        <v>36</v>
      </c>
      <c r="C7" s="13" t="s">
        <v>307</v>
      </c>
      <c r="D7" s="13" t="s">
        <v>308</v>
      </c>
      <c r="E7" s="13" t="s">
        <v>200</v>
      </c>
      <c r="F7" s="13" t="s">
        <v>201</v>
      </c>
      <c r="G7" s="14" t="n">
        <v>7887</v>
      </c>
      <c r="H7" s="13" t="s">
        <v>19</v>
      </c>
      <c r="I7" s="15" t="n">
        <v>0.0075</v>
      </c>
      <c r="J7" s="16" t="n">
        <f aca="false">IFERROR(INDEX('Como ler'!$B$20:$B$24,MATCH(H7,'Como ler'!$A$20:$A$24,0)),"")</f>
        <v>0.025</v>
      </c>
      <c r="K7" s="17" t="n">
        <f aca="false">IF(OR(I7="",J7=""),"",I7/J7)</f>
        <v>0.3</v>
      </c>
      <c r="L7" s="14" t="n">
        <v>70</v>
      </c>
      <c r="M7" s="18" t="n">
        <v>5.8</v>
      </c>
      <c r="N7" s="14" t="n">
        <v>102</v>
      </c>
      <c r="O7" s="17" t="n">
        <f aca="false">IF(OR(N7="",G7=0),"",N7/G7)</f>
        <v>0.0129326740205401</v>
      </c>
      <c r="P7" s="19" t="n">
        <v>0.58</v>
      </c>
      <c r="Q7" s="20" t="n">
        <v>1.1</v>
      </c>
      <c r="R7" s="21" t="n">
        <v>46235</v>
      </c>
      <c r="S7" s="22" t="n">
        <f aca="false">IF(R7="","",'Como ler'!$B$27-R7)</f>
        <v>57</v>
      </c>
      <c r="T7" s="13" t="n">
        <v>0</v>
      </c>
      <c r="U7" s="13"/>
      <c r="V7" s="13" t="s">
        <v>44</v>
      </c>
      <c r="W7" s="13" t="s">
        <v>309</v>
      </c>
      <c r="X7" s="25" t="s">
        <v>104</v>
      </c>
      <c r="Y7" s="13" t="n">
        <f aca="false">ROUND(IF(K7="",0,MIN(40,40*K7/1.5))+IF(S7="",0,IF(S7&lt;=7,20,IF(S7&lt;=30,12,IF(S7&lt;=90,5,0))))+IF(Q7="",0,MIN(15,Q7*5))+IF(O7="",0,MIN(15,O7*30))+IF(E7="Criador(a)",10,IF(E7="Especialista que cria conteúdo",6,4)),0)</f>
        <v>23</v>
      </c>
      <c r="Z7" s="13" t="s">
        <v>105</v>
      </c>
      <c r="AA7" s="13"/>
      <c r="AB7" s="13"/>
      <c r="AC7" s="13"/>
      <c r="AD7" s="13" t="s">
        <v>310</v>
      </c>
      <c r="AE7" s="13" t="s">
        <v>311</v>
      </c>
      <c r="AF7" s="13" t="s">
        <v>312</v>
      </c>
      <c r="AG7" s="24" t="s">
        <v>313</v>
      </c>
      <c r="AH7" s="13" t="s">
        <v>100</v>
      </c>
      <c r="AI7" s="13"/>
    </row>
    <row r="8" customFormat="false" ht="15" hidden="false" customHeight="false" outlineLevel="0" collapsed="false">
      <c r="A8" s="13" t="s">
        <v>35</v>
      </c>
      <c r="B8" s="13" t="s">
        <v>36</v>
      </c>
      <c r="C8" s="13" t="s">
        <v>365</v>
      </c>
      <c r="D8" s="13" t="s">
        <v>366</v>
      </c>
      <c r="E8" s="13" t="s">
        <v>157</v>
      </c>
      <c r="F8" s="13" t="s">
        <v>29</v>
      </c>
      <c r="G8" s="14" t="n">
        <v>4378</v>
      </c>
      <c r="H8" s="13" t="s">
        <v>19</v>
      </c>
      <c r="I8" s="15" t="n">
        <v>0.0046</v>
      </c>
      <c r="J8" s="16" t="n">
        <f aca="false">IFERROR(INDEX('Como ler'!$B$20:$B$24,MATCH(H8,'Como ler'!$A$20:$A$24,0)),"")</f>
        <v>0.025</v>
      </c>
      <c r="K8" s="17" t="n">
        <f aca="false">IF(OR(I8="",J8=""),"",I8/J8)</f>
        <v>0.184</v>
      </c>
      <c r="L8" s="14" t="n">
        <v>51</v>
      </c>
      <c r="M8" s="18" t="n">
        <v>0.3</v>
      </c>
      <c r="N8" s="14" t="n">
        <v>318</v>
      </c>
      <c r="O8" s="17" t="n">
        <f aca="false">IF(OR(N8="",G8=0),"",N8/G8)</f>
        <v>0.0726359068067611</v>
      </c>
      <c r="P8" s="19" t="n">
        <v>0.33</v>
      </c>
      <c r="Q8" s="20" t="n">
        <v>2.3</v>
      </c>
      <c r="R8" s="21" t="n">
        <v>46239</v>
      </c>
      <c r="S8" s="22" t="n">
        <f aca="false">IF(R8="","",'Como ler'!$B$27-R8)</f>
        <v>53</v>
      </c>
      <c r="T8" s="13" t="n">
        <v>0</v>
      </c>
      <c r="U8" s="13"/>
      <c r="V8" s="13" t="s">
        <v>47</v>
      </c>
      <c r="W8" s="13" t="s">
        <v>367</v>
      </c>
      <c r="X8" s="25" t="s">
        <v>104</v>
      </c>
      <c r="Y8" s="13" t="n">
        <f aca="false">ROUND(IF(K8="",0,MIN(40,40*K8/1.5))+IF(S8="",0,IF(S8&lt;=7,20,IF(S8&lt;=30,12,IF(S8&lt;=90,5,0))))+IF(Q8="",0,MIN(15,Q8*5))+IF(O8="",0,MIN(15,O8*30))+IF(E8="Criador(a)",10,IF(E8="Especialista que cria conteúdo",6,4)),0)</f>
        <v>30</v>
      </c>
      <c r="Z8" s="13" t="s">
        <v>105</v>
      </c>
      <c r="AA8" s="13"/>
      <c r="AB8" s="13" t="s">
        <v>113</v>
      </c>
      <c r="AC8" s="13"/>
      <c r="AD8" s="13" t="s">
        <v>368</v>
      </c>
      <c r="AE8" s="13" t="s">
        <v>369</v>
      </c>
      <c r="AF8" s="13" t="s">
        <v>370</v>
      </c>
      <c r="AG8" s="24" t="s">
        <v>371</v>
      </c>
      <c r="AH8" s="13" t="s">
        <v>100</v>
      </c>
      <c r="AI8" s="13"/>
    </row>
    <row r="9" customFormat="false" ht="15" hidden="false" customHeight="false" outlineLevel="0" collapsed="false">
      <c r="A9" s="13" t="s">
        <v>35</v>
      </c>
      <c r="B9" s="13" t="s">
        <v>36</v>
      </c>
      <c r="C9" s="13" t="s">
        <v>385</v>
      </c>
      <c r="D9" s="13" t="s">
        <v>386</v>
      </c>
      <c r="E9" s="13" t="s">
        <v>157</v>
      </c>
      <c r="F9" s="13" t="s">
        <v>28</v>
      </c>
      <c r="G9" s="14" t="n">
        <v>3647</v>
      </c>
      <c r="H9" s="13" t="s">
        <v>19</v>
      </c>
      <c r="I9" s="15" t="n">
        <v>0.0337</v>
      </c>
      <c r="J9" s="16" t="n">
        <f aca="false">IFERROR(INDEX('Como ler'!$B$20:$B$24,MATCH(H9,'Como ler'!$A$20:$A$24,0)),"")</f>
        <v>0.025</v>
      </c>
      <c r="K9" s="17" t="n">
        <f aca="false">IF(OR(I9="",J9=""),"",I9/J9)</f>
        <v>1.348</v>
      </c>
      <c r="L9" s="14" t="n">
        <v>105</v>
      </c>
      <c r="M9" s="18" t="n">
        <v>16.9</v>
      </c>
      <c r="N9" s="14" t="n">
        <v>428</v>
      </c>
      <c r="O9" s="17" t="n">
        <f aca="false">IF(OR(N9="",G9=0),"",N9/G9)</f>
        <v>0.117356731560186</v>
      </c>
      <c r="P9" s="19" t="n">
        <v>0.33</v>
      </c>
      <c r="Q9" s="20" t="n">
        <v>0.9</v>
      </c>
      <c r="R9" s="21" t="n">
        <v>46286</v>
      </c>
      <c r="S9" s="22" t="n">
        <f aca="false">IF(R9="","",'Como ler'!$B$27-R9)</f>
        <v>6</v>
      </c>
      <c r="T9" s="13" t="n">
        <v>0</v>
      </c>
      <c r="U9" s="13"/>
      <c r="V9" s="13" t="s">
        <v>52</v>
      </c>
      <c r="W9" s="13" t="s">
        <v>52</v>
      </c>
      <c r="X9" s="23" t="s">
        <v>94</v>
      </c>
      <c r="Y9" s="13" t="n">
        <f aca="false">ROUND(IF(K9="",0,MIN(40,40*K9/1.5))+IF(S9="",0,IF(S9&lt;=7,20,IF(S9&lt;=30,12,IF(S9&lt;=90,5,0))))+IF(Q9="",0,MIN(15,Q9*5))+IF(O9="",0,MIN(15,O9*30))+IF(E9="Criador(a)",10,IF(E9="Especialista que cria conteúdo",6,4)),0)</f>
        <v>70</v>
      </c>
      <c r="Z9" s="13"/>
      <c r="AA9" s="13"/>
      <c r="AB9" s="13" t="s">
        <v>113</v>
      </c>
      <c r="AC9" s="13" t="s">
        <v>130</v>
      </c>
      <c r="AD9" s="13" t="s">
        <v>387</v>
      </c>
      <c r="AE9" s="13" t="s">
        <v>388</v>
      </c>
      <c r="AF9" s="13" t="s">
        <v>389</v>
      </c>
      <c r="AG9" s="24" t="s">
        <v>390</v>
      </c>
      <c r="AH9" s="13" t="s">
        <v>100</v>
      </c>
      <c r="AI9" s="13"/>
    </row>
    <row r="10" customFormat="false" ht="15" hidden="false" customHeight="false" outlineLevel="0" collapsed="false">
      <c r="A10" s="13" t="s">
        <v>35</v>
      </c>
      <c r="B10" s="13" t="s">
        <v>36</v>
      </c>
      <c r="C10" s="13" t="s">
        <v>434</v>
      </c>
      <c r="D10" s="13" t="s">
        <v>435</v>
      </c>
      <c r="E10" s="13" t="s">
        <v>157</v>
      </c>
      <c r="F10" s="13" t="s">
        <v>29</v>
      </c>
      <c r="G10" s="14" t="n">
        <v>2109</v>
      </c>
      <c r="H10" s="13" t="s">
        <v>18</v>
      </c>
      <c r="I10" s="15" t="n">
        <v>0.0133</v>
      </c>
      <c r="J10" s="16" t="n">
        <f aca="false">IFERROR(INDEX('Como ler'!$B$20:$B$24,MATCH(H10,'Como ler'!$A$20:$A$24,0)),"")</f>
        <v>0.04</v>
      </c>
      <c r="K10" s="17" t="n">
        <f aca="false">IF(OR(I10="",J10=""),"",I10/J10)</f>
        <v>0.3325</v>
      </c>
      <c r="L10" s="14" t="n">
        <v>32</v>
      </c>
      <c r="M10" s="18" t="n">
        <v>2.8</v>
      </c>
      <c r="N10" s="14" t="n">
        <v>61</v>
      </c>
      <c r="O10" s="17" t="n">
        <f aca="false">IF(OR(N10="",G10=0),"",N10/G10)</f>
        <v>0.0289236605026079</v>
      </c>
      <c r="P10" s="19" t="n">
        <v>0.27</v>
      </c>
      <c r="Q10" s="20" t="n">
        <v>2.2</v>
      </c>
      <c r="R10" s="21" t="n">
        <v>46291</v>
      </c>
      <c r="S10" s="22" t="n">
        <f aca="false">IF(R10="","",'Como ler'!$B$27-R10)</f>
        <v>1</v>
      </c>
      <c r="T10" s="13" t="n">
        <v>0</v>
      </c>
      <c r="U10" s="13"/>
      <c r="V10" s="13" t="s">
        <v>52</v>
      </c>
      <c r="W10" s="13" t="s">
        <v>436</v>
      </c>
      <c r="X10" s="23" t="s">
        <v>94</v>
      </c>
      <c r="Y10" s="13" t="n">
        <f aca="false">ROUND(IF(K10="",0,MIN(40,40*K10/1.5))+IF(S10="",0,IF(S10&lt;=7,20,IF(S10&lt;=30,12,IF(S10&lt;=90,5,0))))+IF(Q10="",0,MIN(15,Q10*5))+IF(O10="",0,MIN(15,O10*30))+IF(E10="Criador(a)",10,IF(E10="Especialista que cria conteúdo",6,4)),0)</f>
        <v>47</v>
      </c>
      <c r="Z10" s="13"/>
      <c r="AA10" s="13"/>
      <c r="AB10" s="13" t="s">
        <v>113</v>
      </c>
      <c r="AC10" s="13"/>
      <c r="AD10" s="13" t="s">
        <v>387</v>
      </c>
      <c r="AE10" s="13" t="s">
        <v>437</v>
      </c>
      <c r="AF10" s="13" t="s">
        <v>438</v>
      </c>
      <c r="AG10" s="24" t="s">
        <v>439</v>
      </c>
      <c r="AH10" s="13" t="s">
        <v>100</v>
      </c>
      <c r="AI10" s="13"/>
    </row>
    <row r="11" customFormat="false" ht="15" hidden="false" customHeight="false" outlineLevel="0" collapsed="false">
      <c r="A11" s="13" t="s">
        <v>36</v>
      </c>
      <c r="B11" s="13"/>
      <c r="C11" s="13" t="s">
        <v>476</v>
      </c>
      <c r="D11" s="13" t="s">
        <v>477</v>
      </c>
      <c r="E11" s="13" t="s">
        <v>30</v>
      </c>
      <c r="F11" s="13" t="s">
        <v>28</v>
      </c>
      <c r="G11" s="14" t="n">
        <v>1589475</v>
      </c>
      <c r="H11" s="13" t="s">
        <v>22</v>
      </c>
      <c r="I11" s="15" t="n">
        <v>0.0168</v>
      </c>
      <c r="J11" s="16" t="n">
        <f aca="false">IFERROR(INDEX('Como ler'!$B$20:$B$24,MATCH(H11,'Como ler'!$A$20:$A$24,0)),"")</f>
        <v>0.007</v>
      </c>
      <c r="K11" s="17" t="n">
        <f aca="false">IF(OR(I11="",J11=""),"",I11/J11)</f>
        <v>2.4</v>
      </c>
      <c r="L11" s="14" t="n">
        <v>29876</v>
      </c>
      <c r="M11" s="18" t="n">
        <v>142.6</v>
      </c>
      <c r="N11" s="14" t="n">
        <v>252204</v>
      </c>
      <c r="O11" s="17" t="n">
        <f aca="false">IF(OR(N11="",G11=0),"",N11/G11)</f>
        <v>0.158671259378097</v>
      </c>
      <c r="P11" s="19" t="n">
        <v>0.5</v>
      </c>
      <c r="Q11" s="20" t="n">
        <v>1.3</v>
      </c>
      <c r="R11" s="21" t="n">
        <v>46289</v>
      </c>
      <c r="S11" s="22" t="n">
        <f aca="false">IF(R11="","",'Como ler'!$B$27-R11)</f>
        <v>3</v>
      </c>
      <c r="T11" s="13" t="n">
        <v>0</v>
      </c>
      <c r="U11" s="13"/>
      <c r="V11" s="13" t="s">
        <v>53</v>
      </c>
      <c r="W11" s="13" t="s">
        <v>53</v>
      </c>
      <c r="X11" s="26" t="s">
        <v>129</v>
      </c>
      <c r="Y11" s="13" t="n">
        <f aca="false">ROUND(IF(K11="",0,MIN(40,40*K11/1.5))+IF(S11="",0,IF(S11&lt;=7,20,IF(S11&lt;=30,12,IF(S11&lt;=90,5,0))))+IF(Q11="",0,MIN(15,Q11*5))+IF(O11="",0,MIN(15,O11*30))+IF(E11="Criador(a)",10,IF(E11="Especialista que cria conteúdo",6,4)),0)</f>
        <v>81</v>
      </c>
      <c r="Z11" s="13"/>
      <c r="AA11" s="13" t="s">
        <v>113</v>
      </c>
      <c r="AB11" s="13"/>
      <c r="AC11" s="13" t="s">
        <v>181</v>
      </c>
      <c r="AD11" s="13" t="s">
        <v>478</v>
      </c>
      <c r="AE11" s="13" t="s">
        <v>479</v>
      </c>
      <c r="AF11" s="13" t="s">
        <v>480</v>
      </c>
      <c r="AG11" s="24" t="s">
        <v>481</v>
      </c>
      <c r="AH11" s="13" t="s">
        <v>100</v>
      </c>
      <c r="AI11" s="13"/>
    </row>
    <row r="12" customFormat="false" ht="15" hidden="false" customHeight="false" outlineLevel="0" collapsed="false">
      <c r="A12" s="13" t="s">
        <v>36</v>
      </c>
      <c r="B12" s="13" t="s">
        <v>38</v>
      </c>
      <c r="C12" s="13" t="s">
        <v>482</v>
      </c>
      <c r="D12" s="13" t="s">
        <v>483</v>
      </c>
      <c r="E12" s="13" t="s">
        <v>200</v>
      </c>
      <c r="F12" s="13" t="s">
        <v>484</v>
      </c>
      <c r="G12" s="14" t="n">
        <v>540119</v>
      </c>
      <c r="H12" s="13" t="s">
        <v>22</v>
      </c>
      <c r="I12" s="15" t="n">
        <v>0.0042</v>
      </c>
      <c r="J12" s="16" t="n">
        <f aca="false">IFERROR(INDEX('Como ler'!$B$20:$B$24,MATCH(H12,'Como ler'!$A$20:$A$24,0)),"")</f>
        <v>0.007</v>
      </c>
      <c r="K12" s="17" t="n">
        <f aca="false">IF(OR(I12="",J12=""),"",I12/J12)</f>
        <v>0.6</v>
      </c>
      <c r="L12" s="14" t="n">
        <v>3129</v>
      </c>
      <c r="M12" s="18" t="n">
        <v>70.8</v>
      </c>
      <c r="N12" s="14" t="n">
        <v>53460</v>
      </c>
      <c r="O12" s="17" t="n">
        <f aca="false">IF(OR(N12="",G12=0),"",N12/G12)</f>
        <v>0.098978188140021</v>
      </c>
      <c r="P12" s="19" t="n">
        <v>1</v>
      </c>
      <c r="Q12" s="20" t="n">
        <v>5.5</v>
      </c>
      <c r="R12" s="21" t="n">
        <v>46292</v>
      </c>
      <c r="S12" s="22" t="n">
        <f aca="false">IF(R12="","",'Como ler'!$B$27-R12)</f>
        <v>0</v>
      </c>
      <c r="T12" s="13" t="n">
        <v>0</v>
      </c>
      <c r="U12" s="13"/>
      <c r="V12" s="13" t="s">
        <v>46</v>
      </c>
      <c r="W12" s="13" t="s">
        <v>485</v>
      </c>
      <c r="X12" s="25" t="s">
        <v>104</v>
      </c>
      <c r="Y12" s="13" t="n">
        <f aca="false">ROUND(IF(K12="",0,MIN(40,40*K12/1.5))+IF(S12="",0,IF(S12&lt;=7,20,IF(S12&lt;=30,12,IF(S12&lt;=90,5,0))))+IF(Q12="",0,MIN(15,Q12*5))+IF(O12="",0,MIN(15,O12*30))+IF(E12="Criador(a)",10,IF(E12="Especialista que cria conteúdo",6,4)),0)</f>
        <v>58</v>
      </c>
      <c r="Z12" s="13" t="s">
        <v>105</v>
      </c>
      <c r="AA12" s="13"/>
      <c r="AB12" s="13"/>
      <c r="AC12" s="13" t="s">
        <v>130</v>
      </c>
      <c r="AD12" s="13" t="s">
        <v>486</v>
      </c>
      <c r="AE12" s="13" t="s">
        <v>487</v>
      </c>
      <c r="AF12" s="13" t="s">
        <v>488</v>
      </c>
      <c r="AG12" s="24" t="s">
        <v>489</v>
      </c>
      <c r="AH12" s="13" t="s">
        <v>100</v>
      </c>
      <c r="AI12" s="13"/>
    </row>
    <row r="13" customFormat="false" ht="15" hidden="false" customHeight="false" outlineLevel="0" collapsed="false">
      <c r="A13" s="13" t="s">
        <v>36</v>
      </c>
      <c r="B13" s="13"/>
      <c r="C13" s="13" t="s">
        <v>490</v>
      </c>
      <c r="D13" s="13" t="s">
        <v>491</v>
      </c>
      <c r="E13" s="13" t="s">
        <v>30</v>
      </c>
      <c r="F13" s="13" t="s">
        <v>28</v>
      </c>
      <c r="G13" s="14" t="n">
        <v>251019</v>
      </c>
      <c r="H13" s="13" t="s">
        <v>21</v>
      </c>
      <c r="I13" s="15" t="n">
        <v>0.0016</v>
      </c>
      <c r="J13" s="16" t="n">
        <f aca="false">IFERROR(INDEX('Como ler'!$B$20:$B$24,MATCH(H13,'Como ler'!$A$20:$A$24,0)),"")</f>
        <v>0.01</v>
      </c>
      <c r="K13" s="17" t="n">
        <f aca="false">IF(OR(I13="",J13=""),"",I13/J13)</f>
        <v>0.16</v>
      </c>
      <c r="L13" s="14" t="n">
        <v>329</v>
      </c>
      <c r="M13" s="18" t="n">
        <v>109</v>
      </c>
      <c r="N13" s="14" t="n">
        <v>2422</v>
      </c>
      <c r="O13" s="17" t="n">
        <f aca="false">IF(OR(N13="",G13=0),"",N13/G13)</f>
        <v>0.00964867201287552</v>
      </c>
      <c r="P13" s="19" t="n">
        <v>0.91</v>
      </c>
      <c r="Q13" s="20" t="n">
        <v>11.7</v>
      </c>
      <c r="R13" s="21" t="n">
        <v>46292</v>
      </c>
      <c r="S13" s="22" t="n">
        <f aca="false">IF(R13="","",'Como ler'!$B$27-R13)</f>
        <v>0</v>
      </c>
      <c r="T13" s="13" t="n">
        <v>0</v>
      </c>
      <c r="U13" s="13"/>
      <c r="V13" s="13" t="s">
        <v>43</v>
      </c>
      <c r="W13" s="13" t="s">
        <v>492</v>
      </c>
      <c r="X13" s="23" t="s">
        <v>94</v>
      </c>
      <c r="Y13" s="13" t="n">
        <f aca="false">ROUND(IF(K13="",0,MIN(40,40*K13/1.5))+IF(S13="",0,IF(S13&lt;=7,20,IF(S13&lt;=30,12,IF(S13&lt;=90,5,0))))+IF(Q13="",0,MIN(15,Q13*5))+IF(O13="",0,MIN(15,O13*30))+IF(E13="Criador(a)",10,IF(E13="Especialista que cria conteúdo",6,4)),0)</f>
        <v>50</v>
      </c>
      <c r="Z13" s="13" t="s">
        <v>105</v>
      </c>
      <c r="AA13" s="13" t="s">
        <v>113</v>
      </c>
      <c r="AB13" s="13" t="s">
        <v>113</v>
      </c>
      <c r="AC13" s="13"/>
      <c r="AD13" s="13" t="s">
        <v>493</v>
      </c>
      <c r="AE13" s="13" t="s">
        <v>494</v>
      </c>
      <c r="AF13" s="13" t="s">
        <v>495</v>
      </c>
      <c r="AG13" s="24" t="s">
        <v>496</v>
      </c>
      <c r="AH13" s="13" t="s">
        <v>100</v>
      </c>
      <c r="AI13" s="13"/>
    </row>
    <row r="14" customFormat="false" ht="15" hidden="false" customHeight="false" outlineLevel="0" collapsed="false">
      <c r="A14" s="13" t="s">
        <v>36</v>
      </c>
      <c r="B14" s="13"/>
      <c r="C14" s="13" t="s">
        <v>497</v>
      </c>
      <c r="D14" s="13" t="s">
        <v>498</v>
      </c>
      <c r="E14" s="13" t="s">
        <v>200</v>
      </c>
      <c r="F14" s="13" t="s">
        <v>201</v>
      </c>
      <c r="G14" s="14" t="n">
        <v>212079</v>
      </c>
      <c r="H14" s="13" t="s">
        <v>21</v>
      </c>
      <c r="I14" s="15" t="n">
        <v>0.0032</v>
      </c>
      <c r="J14" s="16" t="n">
        <f aca="false">IFERROR(INDEX('Como ler'!$B$20:$B$24,MATCH(H14,'Como ler'!$A$20:$A$24,0)),"")</f>
        <v>0.01</v>
      </c>
      <c r="K14" s="17" t="n">
        <f aca="false">IF(OR(I14="",J14=""),"",I14/J14)</f>
        <v>0.32</v>
      </c>
      <c r="L14" s="14" t="n">
        <v>1106</v>
      </c>
      <c r="M14" s="18" t="n">
        <v>54.3</v>
      </c>
      <c r="N14" s="14" t="n">
        <v>18950</v>
      </c>
      <c r="O14" s="17" t="n">
        <f aca="false">IF(OR(N14="",G14=0),"",N14/G14)</f>
        <v>0.0893534956313449</v>
      </c>
      <c r="P14" s="19" t="n">
        <v>1</v>
      </c>
      <c r="Q14" s="20" t="n">
        <v>0.6</v>
      </c>
      <c r="R14" s="21" t="n">
        <v>46075</v>
      </c>
      <c r="S14" s="22" t="n">
        <f aca="false">IF(R14="","",'Como ler'!$B$27-R14)</f>
        <v>217</v>
      </c>
      <c r="T14" s="13" t="n">
        <v>0</v>
      </c>
      <c r="U14" s="13"/>
      <c r="V14" s="13" t="s">
        <v>57</v>
      </c>
      <c r="W14" s="13" t="s">
        <v>57</v>
      </c>
      <c r="X14" s="25" t="s">
        <v>104</v>
      </c>
      <c r="Y14" s="13" t="n">
        <f aca="false">ROUND(IF(K14="",0,MIN(40,40*K14/1.5))+IF(S14="",0,IF(S14&lt;=7,20,IF(S14&lt;=30,12,IF(S14&lt;=90,5,0))))+IF(Q14="",0,MIN(15,Q14*5))+IF(O14="",0,MIN(15,O14*30))+IF(E14="Criador(a)",10,IF(E14="Especialista que cria conteúdo",6,4)),0)</f>
        <v>18</v>
      </c>
      <c r="Z14" s="13" t="s">
        <v>159</v>
      </c>
      <c r="AA14" s="13"/>
      <c r="AB14" s="13"/>
      <c r="AC14" s="13"/>
      <c r="AD14" s="13" t="s">
        <v>499</v>
      </c>
      <c r="AE14" s="13" t="s">
        <v>500</v>
      </c>
      <c r="AF14" s="13"/>
      <c r="AG14" s="24" t="s">
        <v>501</v>
      </c>
      <c r="AH14" s="13" t="s">
        <v>100</v>
      </c>
      <c r="AI14" s="13"/>
    </row>
    <row r="15" customFormat="false" ht="15" hidden="false" customHeight="false" outlineLevel="0" collapsed="false">
      <c r="A15" s="13" t="s">
        <v>36</v>
      </c>
      <c r="B15" s="13" t="s">
        <v>37</v>
      </c>
      <c r="C15" s="13" t="s">
        <v>502</v>
      </c>
      <c r="D15" s="13" t="s">
        <v>503</v>
      </c>
      <c r="E15" s="13" t="s">
        <v>200</v>
      </c>
      <c r="F15" s="13" t="s">
        <v>201</v>
      </c>
      <c r="G15" s="14" t="n">
        <v>169872</v>
      </c>
      <c r="H15" s="13" t="s">
        <v>21</v>
      </c>
      <c r="I15" s="15" t="n">
        <v>0.0013</v>
      </c>
      <c r="J15" s="16" t="n">
        <f aca="false">IFERROR(INDEX('Como ler'!$B$20:$B$24,MATCH(H15,'Como ler'!$A$20:$A$24,0)),"")</f>
        <v>0.01</v>
      </c>
      <c r="K15" s="17" t="n">
        <f aca="false">IF(OR(I15="",J15=""),"",I15/J15)</f>
        <v>0.13</v>
      </c>
      <c r="L15" s="14" t="n">
        <v>494</v>
      </c>
      <c r="M15" s="18" t="n">
        <v>14.4</v>
      </c>
      <c r="N15" s="14" t="n">
        <v>1136</v>
      </c>
      <c r="O15" s="17" t="n">
        <f aca="false">IF(OR(N15="",G15=0),"",N15/G15)</f>
        <v>0.00668738815107846</v>
      </c>
      <c r="P15" s="19" t="n">
        <v>1</v>
      </c>
      <c r="Q15" s="20" t="n">
        <v>15.4</v>
      </c>
      <c r="R15" s="21" t="n">
        <v>46291</v>
      </c>
      <c r="S15" s="22" t="n">
        <f aca="false">IF(R15="","",'Como ler'!$B$27-R15)</f>
        <v>1</v>
      </c>
      <c r="T15" s="13" t="n">
        <v>0</v>
      </c>
      <c r="U15" s="13"/>
      <c r="V15" s="13" t="s">
        <v>57</v>
      </c>
      <c r="W15" s="13" t="s">
        <v>57</v>
      </c>
      <c r="X15" s="25" t="s">
        <v>104</v>
      </c>
      <c r="Y15" s="13" t="n">
        <f aca="false">ROUND(IF(K15="",0,MIN(40,40*K15/1.5))+IF(S15="",0,IF(S15&lt;=7,20,IF(S15&lt;=30,12,IF(S15&lt;=90,5,0))))+IF(Q15="",0,MIN(15,Q15*5))+IF(O15="",0,MIN(15,O15*30))+IF(E15="Criador(a)",10,IF(E15="Especialista que cria conteúdo",6,4)),0)</f>
        <v>43</v>
      </c>
      <c r="Z15" s="13" t="s">
        <v>105</v>
      </c>
      <c r="AA15" s="13"/>
      <c r="AB15" s="13"/>
      <c r="AC15" s="13" t="s">
        <v>130</v>
      </c>
      <c r="AD15" s="13" t="s">
        <v>504</v>
      </c>
      <c r="AE15" s="13" t="s">
        <v>505</v>
      </c>
      <c r="AF15" s="13" t="s">
        <v>506</v>
      </c>
      <c r="AG15" s="24" t="s">
        <v>507</v>
      </c>
      <c r="AH15" s="13" t="s">
        <v>100</v>
      </c>
      <c r="AI15" s="13"/>
    </row>
    <row r="16" customFormat="false" ht="15" hidden="false" customHeight="false" outlineLevel="0" collapsed="false">
      <c r="A16" s="13" t="s">
        <v>36</v>
      </c>
      <c r="B16" s="13"/>
      <c r="C16" s="13" t="s">
        <v>508</v>
      </c>
      <c r="D16" s="13" t="s">
        <v>509</v>
      </c>
      <c r="E16" s="13" t="s">
        <v>200</v>
      </c>
      <c r="F16" s="13" t="s">
        <v>201</v>
      </c>
      <c r="G16" s="14" t="n">
        <v>166537</v>
      </c>
      <c r="H16" s="13" t="s">
        <v>21</v>
      </c>
      <c r="I16" s="15" t="n">
        <v>0.0021</v>
      </c>
      <c r="J16" s="16" t="n">
        <f aca="false">IFERROR(INDEX('Como ler'!$B$20:$B$24,MATCH(H16,'Como ler'!$A$20:$A$24,0)),"")</f>
        <v>0.01</v>
      </c>
      <c r="K16" s="17" t="n">
        <f aca="false">IF(OR(I16="",J16=""),"",I16/J16)</f>
        <v>0.21</v>
      </c>
      <c r="L16" s="14" t="n">
        <v>596</v>
      </c>
      <c r="M16" s="18" t="n">
        <v>93.5</v>
      </c>
      <c r="N16" s="14" t="n">
        <v>14105</v>
      </c>
      <c r="O16" s="17" t="n">
        <f aca="false">IF(OR(N16="",G16=0),"",N16/G16)</f>
        <v>0.0846958934050691</v>
      </c>
      <c r="P16" s="19" t="n">
        <v>1</v>
      </c>
      <c r="Q16" s="20" t="n">
        <v>24.5</v>
      </c>
      <c r="R16" s="21" t="n">
        <v>46108</v>
      </c>
      <c r="S16" s="22" t="n">
        <f aca="false">IF(R16="","",'Como ler'!$B$27-R16)</f>
        <v>184</v>
      </c>
      <c r="T16" s="13" t="n">
        <v>0</v>
      </c>
      <c r="U16" s="13"/>
      <c r="V16" s="13" t="s">
        <v>57</v>
      </c>
      <c r="W16" s="13" t="s">
        <v>57</v>
      </c>
      <c r="X16" s="25" t="s">
        <v>104</v>
      </c>
      <c r="Y16" s="13" t="n">
        <f aca="false">ROUND(IF(K16="",0,MIN(40,40*K16/1.5))+IF(S16="",0,IF(S16&lt;=7,20,IF(S16&lt;=30,12,IF(S16&lt;=90,5,0))))+IF(Q16="",0,MIN(15,Q16*5))+IF(O16="",0,MIN(15,O16*30))+IF(E16="Criador(a)",10,IF(E16="Especialista que cria conteúdo",6,4)),0)</f>
        <v>27</v>
      </c>
      <c r="Z16" s="13" t="s">
        <v>105</v>
      </c>
      <c r="AA16" s="13"/>
      <c r="AB16" s="13"/>
      <c r="AC16" s="13" t="s">
        <v>130</v>
      </c>
      <c r="AD16" s="13" t="s">
        <v>510</v>
      </c>
      <c r="AE16" s="13" t="s">
        <v>511</v>
      </c>
      <c r="AF16" s="13" t="s">
        <v>512</v>
      </c>
      <c r="AG16" s="24" t="s">
        <v>513</v>
      </c>
      <c r="AH16" s="13" t="s">
        <v>100</v>
      </c>
      <c r="AI16" s="13"/>
    </row>
    <row r="17" customFormat="false" ht="15" hidden="false" customHeight="false" outlineLevel="0" collapsed="false">
      <c r="A17" s="13" t="s">
        <v>36</v>
      </c>
      <c r="B17" s="13" t="s">
        <v>38</v>
      </c>
      <c r="C17" s="13" t="s">
        <v>514</v>
      </c>
      <c r="D17" s="13" t="s">
        <v>515</v>
      </c>
      <c r="E17" s="13" t="s">
        <v>30</v>
      </c>
      <c r="F17" s="13" t="s">
        <v>28</v>
      </c>
      <c r="G17" s="14" t="n">
        <v>164287</v>
      </c>
      <c r="H17" s="13" t="s">
        <v>21</v>
      </c>
      <c r="I17" s="15" t="n">
        <v>0.0003</v>
      </c>
      <c r="J17" s="16" t="n">
        <f aca="false">IFERROR(INDEX('Como ler'!$B$20:$B$24,MATCH(H17,'Como ler'!$A$20:$A$24,0)),"")</f>
        <v>0.01</v>
      </c>
      <c r="K17" s="17" t="n">
        <f aca="false">IF(OR(I17="",J17=""),"",I17/J17)</f>
        <v>0.03</v>
      </c>
      <c r="L17" s="14" t="n">
        <v>49</v>
      </c>
      <c r="M17" s="18" t="n">
        <v>5.4</v>
      </c>
      <c r="N17" s="14" t="n">
        <v>530</v>
      </c>
      <c r="O17" s="17" t="n">
        <f aca="false">IF(OR(N17="",G17=0),"",N17/G17)</f>
        <v>0.00322606170908228</v>
      </c>
      <c r="P17" s="19" t="n">
        <v>0.5</v>
      </c>
      <c r="Q17" s="20" t="n">
        <v>19.2</v>
      </c>
      <c r="R17" s="21" t="n">
        <v>46292</v>
      </c>
      <c r="S17" s="22" t="n">
        <f aca="false">IF(R17="","",'Como ler'!$B$27-R17)</f>
        <v>0</v>
      </c>
      <c r="T17" s="13" t="n">
        <v>0</v>
      </c>
      <c r="U17" s="13"/>
      <c r="V17" s="13" t="s">
        <v>42</v>
      </c>
      <c r="W17" s="13" t="s">
        <v>516</v>
      </c>
      <c r="X17" s="26" t="s">
        <v>129</v>
      </c>
      <c r="Y17" s="13" t="n">
        <f aca="false">ROUND(IF(K17="",0,MIN(40,40*K17/1.5))+IF(S17="",0,IF(S17&lt;=7,20,IF(S17&lt;=30,12,IF(S17&lt;=90,5,0))))+IF(Q17="",0,MIN(15,Q17*5))+IF(O17="",0,MIN(15,O17*30))+IF(E17="Criador(a)",10,IF(E17="Especialista que cria conteúdo",6,4)),0)</f>
        <v>46</v>
      </c>
      <c r="Z17" s="13" t="s">
        <v>105</v>
      </c>
      <c r="AA17" s="13" t="s">
        <v>113</v>
      </c>
      <c r="AB17" s="13" t="s">
        <v>113</v>
      </c>
      <c r="AC17" s="13" t="s">
        <v>181</v>
      </c>
      <c r="AD17" s="13" t="s">
        <v>517</v>
      </c>
      <c r="AE17" s="13" t="s">
        <v>518</v>
      </c>
      <c r="AF17" s="13" t="s">
        <v>519</v>
      </c>
      <c r="AG17" s="24" t="s">
        <v>520</v>
      </c>
      <c r="AH17" s="13" t="s">
        <v>100</v>
      </c>
      <c r="AI17" s="13"/>
    </row>
    <row r="18" customFormat="false" ht="15" hidden="false" customHeight="false" outlineLevel="0" collapsed="false">
      <c r="A18" s="13" t="s">
        <v>36</v>
      </c>
      <c r="B18" s="13"/>
      <c r="C18" s="13" t="s">
        <v>521</v>
      </c>
      <c r="D18" s="13" t="s">
        <v>522</v>
      </c>
      <c r="E18" s="13" t="s">
        <v>30</v>
      </c>
      <c r="F18" s="13" t="s">
        <v>28</v>
      </c>
      <c r="G18" s="14" t="n">
        <v>128899</v>
      </c>
      <c r="H18" s="13" t="s">
        <v>21</v>
      </c>
      <c r="I18" s="15" t="n">
        <v>0.0187</v>
      </c>
      <c r="J18" s="16" t="n">
        <f aca="false">IFERROR(INDEX('Como ler'!$B$20:$B$24,MATCH(H18,'Como ler'!$A$20:$A$24,0)),"")</f>
        <v>0.01</v>
      </c>
      <c r="K18" s="17" t="n">
        <f aca="false">IF(OR(I18="",J18=""),"",I18/J18)</f>
        <v>1.87</v>
      </c>
      <c r="L18" s="14" t="n">
        <v>6264</v>
      </c>
      <c r="M18" s="18" t="n">
        <v>34.1</v>
      </c>
      <c r="N18" s="14" t="n">
        <v>8514</v>
      </c>
      <c r="O18" s="17" t="n">
        <f aca="false">IF(OR(N18="",G18=0),"",N18/G18)</f>
        <v>0.0660517149085718</v>
      </c>
      <c r="P18" s="19" t="n">
        <v>0.56</v>
      </c>
      <c r="Q18" s="20" t="n">
        <v>18.7</v>
      </c>
      <c r="R18" s="21" t="n">
        <v>46291</v>
      </c>
      <c r="S18" s="22" t="n">
        <f aca="false">IF(R18="","",'Como ler'!$B$27-R18)</f>
        <v>1</v>
      </c>
      <c r="T18" s="13" t="n">
        <v>0</v>
      </c>
      <c r="U18" s="13"/>
      <c r="V18" s="13" t="s">
        <v>42</v>
      </c>
      <c r="W18" s="13" t="s">
        <v>42</v>
      </c>
      <c r="X18" s="26" t="s">
        <v>129</v>
      </c>
      <c r="Y18" s="13" t="n">
        <f aca="false">ROUND(IF(K18="",0,MIN(40,40*K18/1.5))+IF(S18="",0,IF(S18&lt;=7,20,IF(S18&lt;=30,12,IF(S18&lt;=90,5,0))))+IF(Q18="",0,MIN(15,Q18*5))+IF(O18="",0,MIN(15,O18*30))+IF(E18="Criador(a)",10,IF(E18="Especialista que cria conteúdo",6,4)),0)</f>
        <v>87</v>
      </c>
      <c r="Z18" s="13" t="s">
        <v>105</v>
      </c>
      <c r="AA18" s="13"/>
      <c r="AB18" s="13" t="s">
        <v>113</v>
      </c>
      <c r="AC18" s="13"/>
      <c r="AD18" s="13" t="s">
        <v>523</v>
      </c>
      <c r="AE18" s="13" t="s">
        <v>524</v>
      </c>
      <c r="AF18" s="13" t="s">
        <v>525</v>
      </c>
      <c r="AG18" s="24" t="s">
        <v>526</v>
      </c>
      <c r="AH18" s="13" t="s">
        <v>100</v>
      </c>
      <c r="AI18" s="13"/>
    </row>
    <row r="19" customFormat="false" ht="15" hidden="false" customHeight="false" outlineLevel="0" collapsed="false">
      <c r="A19" s="13" t="s">
        <v>36</v>
      </c>
      <c r="B19" s="13" t="s">
        <v>35</v>
      </c>
      <c r="C19" s="13" t="s">
        <v>527</v>
      </c>
      <c r="D19" s="13" t="s">
        <v>528</v>
      </c>
      <c r="E19" s="13" t="s">
        <v>30</v>
      </c>
      <c r="F19" s="13" t="s">
        <v>28</v>
      </c>
      <c r="G19" s="14" t="n">
        <v>119845</v>
      </c>
      <c r="H19" s="13" t="s">
        <v>21</v>
      </c>
      <c r="I19" s="15" t="n">
        <v>0.0038</v>
      </c>
      <c r="J19" s="16" t="n">
        <f aca="false">IFERROR(INDEX('Como ler'!$B$20:$B$24,MATCH(H19,'Como ler'!$A$20:$A$24,0)),"")</f>
        <v>0.01</v>
      </c>
      <c r="K19" s="17" t="n">
        <f aca="false">IF(OR(I19="",J19=""),"",I19/J19)</f>
        <v>0.38</v>
      </c>
      <c r="L19" s="14" t="n">
        <v>489</v>
      </c>
      <c r="M19" s="18" t="n">
        <v>24.9</v>
      </c>
      <c r="N19" s="14" t="n">
        <v>9245</v>
      </c>
      <c r="O19" s="17" t="n">
        <f aca="false">IF(OR(N19="",G19=0),"",N19/G19)</f>
        <v>0.0771413075222162</v>
      </c>
      <c r="P19" s="19" t="n">
        <v>0.75</v>
      </c>
      <c r="Q19" s="20" t="n">
        <v>1.6</v>
      </c>
      <c r="R19" s="21" t="n">
        <v>46289</v>
      </c>
      <c r="S19" s="22" t="n">
        <f aca="false">IF(R19="","",'Como ler'!$B$27-R19)</f>
        <v>3</v>
      </c>
      <c r="T19" s="13" t="n">
        <v>0</v>
      </c>
      <c r="U19" s="13"/>
      <c r="V19" s="13" t="s">
        <v>46</v>
      </c>
      <c r="W19" s="13" t="s">
        <v>529</v>
      </c>
      <c r="X19" s="25" t="s">
        <v>104</v>
      </c>
      <c r="Y19" s="13" t="n">
        <f aca="false">ROUND(IF(K19="",0,MIN(40,40*K19/1.5))+IF(S19="",0,IF(S19&lt;=7,20,IF(S19&lt;=30,12,IF(S19&lt;=90,5,0))))+IF(Q19="",0,MIN(15,Q19*5))+IF(O19="",0,MIN(15,O19*30))+IF(E19="Criador(a)",10,IF(E19="Especialista que cria conteúdo",6,4)),0)</f>
        <v>50</v>
      </c>
      <c r="Z19" s="13"/>
      <c r="AA19" s="13" t="s">
        <v>113</v>
      </c>
      <c r="AB19" s="13" t="s">
        <v>113</v>
      </c>
      <c r="AC19" s="13" t="s">
        <v>130</v>
      </c>
      <c r="AD19" s="13" t="s">
        <v>530</v>
      </c>
      <c r="AE19" s="13" t="s">
        <v>531</v>
      </c>
      <c r="AF19" s="13" t="s">
        <v>532</v>
      </c>
      <c r="AG19" s="24" t="s">
        <v>533</v>
      </c>
      <c r="AH19" s="13" t="s">
        <v>100</v>
      </c>
      <c r="AI19" s="13"/>
    </row>
    <row r="20" customFormat="false" ht="15" hidden="false" customHeight="false" outlineLevel="0" collapsed="false">
      <c r="A20" s="13" t="s">
        <v>36</v>
      </c>
      <c r="B20" s="13"/>
      <c r="C20" s="13" t="s">
        <v>534</v>
      </c>
      <c r="D20" s="13" t="s">
        <v>535</v>
      </c>
      <c r="E20" s="13" t="s">
        <v>200</v>
      </c>
      <c r="F20" s="13" t="s">
        <v>201</v>
      </c>
      <c r="G20" s="14" t="n">
        <v>110843</v>
      </c>
      <c r="H20" s="13" t="s">
        <v>21</v>
      </c>
      <c r="I20" s="15" t="n">
        <v>0.0005</v>
      </c>
      <c r="J20" s="16" t="n">
        <f aca="false">IFERROR(INDEX('Como ler'!$B$20:$B$24,MATCH(H20,'Como ler'!$A$20:$A$24,0)),"")</f>
        <v>0.01</v>
      </c>
      <c r="K20" s="17" t="n">
        <f aca="false">IF(OR(I20="",J20=""),"",I20/J20)</f>
        <v>0.05</v>
      </c>
      <c r="L20" s="14" t="n">
        <v>761</v>
      </c>
      <c r="M20" s="18" t="n">
        <v>17.8</v>
      </c>
      <c r="N20" s="14" t="n">
        <v>2944</v>
      </c>
      <c r="O20" s="17" t="n">
        <f aca="false">IF(OR(N20="",G20=0),"",N20/G20)</f>
        <v>0.0265600894959537</v>
      </c>
      <c r="P20" s="19" t="n">
        <v>0.7</v>
      </c>
      <c r="Q20" s="20" t="n">
        <v>0.4</v>
      </c>
      <c r="R20" s="21" t="n">
        <v>46292</v>
      </c>
      <c r="S20" s="22" t="n">
        <f aca="false">IF(R20="","",'Como ler'!$B$27-R20)</f>
        <v>0</v>
      </c>
      <c r="T20" s="13" t="n">
        <v>0</v>
      </c>
      <c r="U20" s="13"/>
      <c r="V20" s="13" t="s">
        <v>57</v>
      </c>
      <c r="W20" s="13" t="s">
        <v>536</v>
      </c>
      <c r="X20" s="25" t="s">
        <v>104</v>
      </c>
      <c r="Y20" s="13" t="n">
        <f aca="false">ROUND(IF(K20="",0,MIN(40,40*K20/1.5))+IF(S20="",0,IF(S20&lt;=7,20,IF(S20&lt;=30,12,IF(S20&lt;=90,5,0))))+IF(Q20="",0,MIN(15,Q20*5))+IF(O20="",0,MIN(15,O20*30))+IF(E20="Criador(a)",10,IF(E20="Especialista que cria conteúdo",6,4)),0)</f>
        <v>28</v>
      </c>
      <c r="Z20" s="13" t="s">
        <v>105</v>
      </c>
      <c r="AA20" s="13" t="s">
        <v>113</v>
      </c>
      <c r="AB20" s="13" t="s">
        <v>113</v>
      </c>
      <c r="AC20" s="13"/>
      <c r="AD20" s="13" t="s">
        <v>510</v>
      </c>
      <c r="AE20" s="13" t="s">
        <v>537</v>
      </c>
      <c r="AF20" s="13" t="s">
        <v>538</v>
      </c>
      <c r="AG20" s="24" t="s">
        <v>539</v>
      </c>
      <c r="AH20" s="13" t="s">
        <v>100</v>
      </c>
      <c r="AI20" s="13"/>
    </row>
    <row r="21" customFormat="false" ht="15" hidden="false" customHeight="false" outlineLevel="0" collapsed="false">
      <c r="A21" s="13" t="s">
        <v>36</v>
      </c>
      <c r="B21" s="13" t="s">
        <v>35</v>
      </c>
      <c r="C21" s="13" t="s">
        <v>540</v>
      </c>
      <c r="D21" s="13" t="s">
        <v>541</v>
      </c>
      <c r="E21" s="13" t="s">
        <v>30</v>
      </c>
      <c r="F21" s="13" t="s">
        <v>28</v>
      </c>
      <c r="G21" s="14" t="n">
        <v>96473</v>
      </c>
      <c r="H21" s="13" t="s">
        <v>20</v>
      </c>
      <c r="I21" s="15" t="n">
        <v>0.0045</v>
      </c>
      <c r="J21" s="16" t="n">
        <f aca="false">IFERROR(INDEX('Como ler'!$B$20:$B$24,MATCH(H21,'Como ler'!$A$20:$A$24,0)),"")</f>
        <v>0.015</v>
      </c>
      <c r="K21" s="17" t="n">
        <f aca="false">IF(OR(I21="",J21=""),"",I21/J21)</f>
        <v>0.3</v>
      </c>
      <c r="L21" s="14" t="n">
        <v>574</v>
      </c>
      <c r="M21" s="18" t="n">
        <v>23.2</v>
      </c>
      <c r="N21" s="14" t="n">
        <v>6330</v>
      </c>
      <c r="O21" s="17" t="n">
        <f aca="false">IF(OR(N21="",G21=0),"",N21/G21)</f>
        <v>0.065614213303204</v>
      </c>
      <c r="P21" s="19" t="n">
        <v>1</v>
      </c>
      <c r="Q21" s="20" t="n">
        <v>5.1</v>
      </c>
      <c r="R21" s="21" t="n">
        <v>46291</v>
      </c>
      <c r="S21" s="22" t="n">
        <f aca="false">IF(R21="","",'Como ler'!$B$27-R21)</f>
        <v>1</v>
      </c>
      <c r="T21" s="13" t="n">
        <v>3</v>
      </c>
      <c r="U21" s="13" t="s">
        <v>542</v>
      </c>
      <c r="V21" s="13" t="s">
        <v>46</v>
      </c>
      <c r="W21" s="13" t="s">
        <v>543</v>
      </c>
      <c r="X21" s="23" t="s">
        <v>94</v>
      </c>
      <c r="Y21" s="13" t="n">
        <f aca="false">ROUND(IF(K21="",0,MIN(40,40*K21/1.5))+IF(S21="",0,IF(S21&lt;=7,20,IF(S21&lt;=30,12,IF(S21&lt;=90,5,0))))+IF(Q21="",0,MIN(15,Q21*5))+IF(O21="",0,MIN(15,O21*30))+IF(E21="Criador(a)",10,IF(E21="Especialista que cria conteúdo",6,4)),0)</f>
        <v>55</v>
      </c>
      <c r="Z21" s="13"/>
      <c r="AA21" s="13" t="s">
        <v>113</v>
      </c>
      <c r="AB21" s="13"/>
      <c r="AC21" s="13"/>
      <c r="AD21" s="13" t="s">
        <v>544</v>
      </c>
      <c r="AE21" s="13" t="s">
        <v>545</v>
      </c>
      <c r="AF21" s="13" t="s">
        <v>546</v>
      </c>
      <c r="AG21" s="24" t="s">
        <v>547</v>
      </c>
      <c r="AH21" s="13" t="s">
        <v>100</v>
      </c>
      <c r="AI21" s="13"/>
    </row>
    <row r="22" customFormat="false" ht="15" hidden="false" customHeight="false" outlineLevel="0" collapsed="false">
      <c r="A22" s="13" t="s">
        <v>36</v>
      </c>
      <c r="B22" s="13" t="s">
        <v>35</v>
      </c>
      <c r="C22" s="13" t="s">
        <v>548</v>
      </c>
      <c r="D22" s="13" t="s">
        <v>549</v>
      </c>
      <c r="E22" s="13" t="s">
        <v>30</v>
      </c>
      <c r="F22" s="13" t="s">
        <v>28</v>
      </c>
      <c r="G22" s="14" t="n">
        <v>91438</v>
      </c>
      <c r="H22" s="13" t="s">
        <v>20</v>
      </c>
      <c r="I22" s="15" t="n">
        <v>0.0013</v>
      </c>
      <c r="J22" s="16" t="n">
        <f aca="false">IFERROR(INDEX('Como ler'!$B$20:$B$24,MATCH(H22,'Como ler'!$A$20:$A$24,0)),"")</f>
        <v>0.015</v>
      </c>
      <c r="K22" s="17" t="n">
        <f aca="false">IF(OR(I22="",J22=""),"",I22/J22)</f>
        <v>0.0866666666666667</v>
      </c>
      <c r="L22" s="14" t="n">
        <v>190</v>
      </c>
      <c r="M22" s="18" t="n">
        <v>22.2</v>
      </c>
      <c r="N22" s="14" t="n">
        <v>1811</v>
      </c>
      <c r="O22" s="17" t="n">
        <f aca="false">IF(OR(N22="",G22=0),"",N22/G22)</f>
        <v>0.0198057700299657</v>
      </c>
      <c r="P22" s="19" t="n">
        <v>0.45</v>
      </c>
      <c r="Q22" s="20" t="n">
        <v>3.2</v>
      </c>
      <c r="R22" s="21" t="n">
        <v>46291</v>
      </c>
      <c r="S22" s="22" t="n">
        <f aca="false">IF(R22="","",'Como ler'!$B$27-R22)</f>
        <v>1</v>
      </c>
      <c r="T22" s="13" t="n">
        <v>0</v>
      </c>
      <c r="U22" s="13"/>
      <c r="V22" s="13" t="s">
        <v>46</v>
      </c>
      <c r="W22" s="13" t="s">
        <v>550</v>
      </c>
      <c r="X22" s="23" t="s">
        <v>94</v>
      </c>
      <c r="Y22" s="13" t="n">
        <f aca="false">ROUND(IF(K22="",0,MIN(40,40*K22/1.5))+IF(S22="",0,IF(S22&lt;=7,20,IF(S22&lt;=30,12,IF(S22&lt;=90,5,0))))+IF(Q22="",0,MIN(15,Q22*5))+IF(O22="",0,MIN(15,O22*30))+IF(E22="Criador(a)",10,IF(E22="Especialista que cria conteúdo",6,4)),0)</f>
        <v>48</v>
      </c>
      <c r="Z22" s="13"/>
      <c r="AA22" s="13" t="s">
        <v>113</v>
      </c>
      <c r="AB22" s="13"/>
      <c r="AC22" s="13"/>
      <c r="AD22" s="13" t="s">
        <v>551</v>
      </c>
      <c r="AE22" s="13" t="s">
        <v>552</v>
      </c>
      <c r="AF22" s="13" t="s">
        <v>553</v>
      </c>
      <c r="AG22" s="24" t="s">
        <v>554</v>
      </c>
      <c r="AH22" s="13" t="s">
        <v>100</v>
      </c>
      <c r="AI22" s="13"/>
    </row>
    <row r="23" customFormat="false" ht="15" hidden="false" customHeight="false" outlineLevel="0" collapsed="false">
      <c r="A23" s="13" t="s">
        <v>36</v>
      </c>
      <c r="B23" s="13"/>
      <c r="C23" s="13" t="s">
        <v>555</v>
      </c>
      <c r="D23" s="13" t="s">
        <v>556</v>
      </c>
      <c r="E23" s="13" t="s">
        <v>30</v>
      </c>
      <c r="F23" s="13" t="s">
        <v>28</v>
      </c>
      <c r="G23" s="14" t="n">
        <v>86311</v>
      </c>
      <c r="H23" s="13" t="s">
        <v>20</v>
      </c>
      <c r="I23" s="15" t="n">
        <v>0.0013</v>
      </c>
      <c r="J23" s="16" t="n">
        <f aca="false">IFERROR(INDEX('Como ler'!$B$20:$B$24,MATCH(H23,'Como ler'!$A$20:$A$24,0)),"")</f>
        <v>0.015</v>
      </c>
      <c r="K23" s="17" t="n">
        <f aca="false">IF(OR(I23="",J23=""),"",I23/J23)</f>
        <v>0.0866666666666667</v>
      </c>
      <c r="L23" s="14" t="n">
        <v>110</v>
      </c>
      <c r="M23" s="18" t="n">
        <v>5.7</v>
      </c>
      <c r="N23" s="14" t="n">
        <v>1998</v>
      </c>
      <c r="O23" s="17" t="n">
        <f aca="false">IF(OR(N23="",G23=0),"",N23/G23)</f>
        <v>0.0231488454542295</v>
      </c>
      <c r="P23" s="19" t="n">
        <v>0.78</v>
      </c>
      <c r="Q23" s="20" t="n">
        <v>11.2</v>
      </c>
      <c r="R23" s="21" t="n">
        <v>46292</v>
      </c>
      <c r="S23" s="22" t="n">
        <f aca="false">IF(R23="","",'Como ler'!$B$27-R23)</f>
        <v>0</v>
      </c>
      <c r="T23" s="13" t="n">
        <v>1</v>
      </c>
      <c r="U23" s="13" t="s">
        <v>557</v>
      </c>
      <c r="V23" s="13" t="s">
        <v>42</v>
      </c>
      <c r="W23" s="13" t="s">
        <v>42</v>
      </c>
      <c r="X23" s="26" t="s">
        <v>129</v>
      </c>
      <c r="Y23" s="13" t="n">
        <f aca="false">ROUND(IF(K23="",0,MIN(40,40*K23/1.5))+IF(S23="",0,IF(S23&lt;=7,20,IF(S23&lt;=30,12,IF(S23&lt;=90,5,0))))+IF(Q23="",0,MIN(15,Q23*5))+IF(O23="",0,MIN(15,O23*30))+IF(E23="Criador(a)",10,IF(E23="Especialista que cria conteúdo",6,4)),0)</f>
        <v>48</v>
      </c>
      <c r="Z23" s="13"/>
      <c r="AA23" s="13"/>
      <c r="AB23" s="13" t="s">
        <v>113</v>
      </c>
      <c r="AC23" s="13" t="s">
        <v>181</v>
      </c>
      <c r="AD23" s="13" t="s">
        <v>558</v>
      </c>
      <c r="AE23" s="13" t="s">
        <v>559</v>
      </c>
      <c r="AF23" s="13" t="s">
        <v>560</v>
      </c>
      <c r="AG23" s="24" t="s">
        <v>561</v>
      </c>
      <c r="AH23" s="13" t="s">
        <v>100</v>
      </c>
      <c r="AI23" s="13"/>
    </row>
    <row r="24" customFormat="false" ht="15" hidden="false" customHeight="false" outlineLevel="0" collapsed="false">
      <c r="A24" s="13" t="s">
        <v>36</v>
      </c>
      <c r="B24" s="13"/>
      <c r="C24" s="13" t="s">
        <v>562</v>
      </c>
      <c r="D24" s="13" t="s">
        <v>563</v>
      </c>
      <c r="E24" s="13" t="s">
        <v>30</v>
      </c>
      <c r="F24" s="13" t="s">
        <v>28</v>
      </c>
      <c r="G24" s="14" t="n">
        <v>69246</v>
      </c>
      <c r="H24" s="13" t="s">
        <v>20</v>
      </c>
      <c r="I24" s="15" t="n">
        <v>0.0014</v>
      </c>
      <c r="J24" s="16" t="n">
        <f aca="false">IFERROR(INDEX('Como ler'!$B$20:$B$24,MATCH(H24,'Como ler'!$A$20:$A$24,0)),"")</f>
        <v>0.015</v>
      </c>
      <c r="K24" s="17" t="n">
        <f aca="false">IF(OR(I24="",J24=""),"",I24/J24)</f>
        <v>0.0933333333333333</v>
      </c>
      <c r="L24" s="14" t="n">
        <v>818</v>
      </c>
      <c r="M24" s="18" t="n">
        <v>19</v>
      </c>
      <c r="N24" s="14" t="n">
        <v>899</v>
      </c>
      <c r="O24" s="17" t="n">
        <f aca="false">IF(OR(N24="",G24=0),"",N24/G24)</f>
        <v>0.012982699361696</v>
      </c>
      <c r="P24" s="19" t="n">
        <v>0.56</v>
      </c>
      <c r="Q24" s="20" t="n">
        <v>2.7</v>
      </c>
      <c r="R24" s="21" t="n">
        <v>46292</v>
      </c>
      <c r="S24" s="22" t="n">
        <f aca="false">IF(R24="","",'Como ler'!$B$27-R24)</f>
        <v>0</v>
      </c>
      <c r="T24" s="13" t="n">
        <v>0</v>
      </c>
      <c r="U24" s="13"/>
      <c r="V24" s="13" t="s">
        <v>45</v>
      </c>
      <c r="W24" s="13" t="s">
        <v>564</v>
      </c>
      <c r="X24" s="26" t="s">
        <v>129</v>
      </c>
      <c r="Y24" s="13" t="n">
        <f aca="false">ROUND(IF(K24="",0,MIN(40,40*K24/1.5))+IF(S24="",0,IF(S24&lt;=7,20,IF(S24&lt;=30,12,IF(S24&lt;=90,5,0))))+IF(Q24="",0,MIN(15,Q24*5))+IF(O24="",0,MIN(15,O24*30))+IF(E24="Criador(a)",10,IF(E24="Especialista que cria conteúdo",6,4)),0)</f>
        <v>46</v>
      </c>
      <c r="Z24" s="13" t="s">
        <v>105</v>
      </c>
      <c r="AA24" s="13"/>
      <c r="AB24" s="13"/>
      <c r="AC24" s="13"/>
      <c r="AD24" s="13" t="s">
        <v>565</v>
      </c>
      <c r="AE24" s="13" t="s">
        <v>566</v>
      </c>
      <c r="AF24" s="13" t="s">
        <v>567</v>
      </c>
      <c r="AG24" s="24" t="s">
        <v>568</v>
      </c>
      <c r="AH24" s="13" t="s">
        <v>100</v>
      </c>
      <c r="AI24" s="13"/>
    </row>
    <row r="25" customFormat="false" ht="15" hidden="false" customHeight="false" outlineLevel="0" collapsed="false">
      <c r="A25" s="13" t="s">
        <v>36</v>
      </c>
      <c r="B25" s="13"/>
      <c r="C25" s="13" t="s">
        <v>569</v>
      </c>
      <c r="D25" s="13" t="s">
        <v>570</v>
      </c>
      <c r="E25" s="13" t="s">
        <v>200</v>
      </c>
      <c r="F25" s="13" t="s">
        <v>201</v>
      </c>
      <c r="G25" s="14" t="n">
        <v>60353</v>
      </c>
      <c r="H25" s="13" t="s">
        <v>20</v>
      </c>
      <c r="I25" s="15" t="n">
        <v>0.0081</v>
      </c>
      <c r="J25" s="16" t="n">
        <f aca="false">IFERROR(INDEX('Como ler'!$B$20:$B$24,MATCH(H25,'Como ler'!$A$20:$A$24,0)),"")</f>
        <v>0.015</v>
      </c>
      <c r="K25" s="17" t="n">
        <f aca="false">IF(OR(I25="",J25=""),"",I25/J25)</f>
        <v>0.54</v>
      </c>
      <c r="L25" s="14" t="n">
        <v>552</v>
      </c>
      <c r="M25" s="18" t="n">
        <v>29.7</v>
      </c>
      <c r="N25" s="14" t="n">
        <v>13208</v>
      </c>
      <c r="O25" s="17" t="n">
        <f aca="false">IF(OR(N25="",G25=0),"",N25/G25)</f>
        <v>0.218845790598645</v>
      </c>
      <c r="P25" s="19" t="n">
        <v>1</v>
      </c>
      <c r="Q25" s="20" t="n">
        <v>0.3</v>
      </c>
      <c r="R25" s="21" t="n">
        <v>45722</v>
      </c>
      <c r="S25" s="22" t="n">
        <f aca="false">IF(R25="","",'Como ler'!$B$27-R25)</f>
        <v>570</v>
      </c>
      <c r="T25" s="13" t="n">
        <v>0</v>
      </c>
      <c r="U25" s="13"/>
      <c r="V25" s="13" t="s">
        <v>46</v>
      </c>
      <c r="W25" s="13" t="s">
        <v>529</v>
      </c>
      <c r="X25" s="25" t="s">
        <v>104</v>
      </c>
      <c r="Y25" s="13" t="n">
        <f aca="false">ROUND(IF(K25="",0,MIN(40,40*K25/1.5))+IF(S25="",0,IF(S25&lt;=7,20,IF(S25&lt;=30,12,IF(S25&lt;=90,5,0))))+IF(Q25="",0,MIN(15,Q25*5))+IF(O25="",0,MIN(15,O25*30))+IF(E25="Criador(a)",10,IF(E25="Especialista que cria conteúdo",6,4)),0)</f>
        <v>26</v>
      </c>
      <c r="Z25" s="13" t="s">
        <v>105</v>
      </c>
      <c r="AA25" s="13"/>
      <c r="AB25" s="13"/>
      <c r="AC25" s="13" t="s">
        <v>114</v>
      </c>
      <c r="AD25" s="13" t="s">
        <v>571</v>
      </c>
      <c r="AE25" s="13" t="s">
        <v>572</v>
      </c>
      <c r="AF25" s="13" t="s">
        <v>573</v>
      </c>
      <c r="AG25" s="24" t="s">
        <v>574</v>
      </c>
      <c r="AH25" s="13" t="s">
        <v>100</v>
      </c>
      <c r="AI25" s="13"/>
    </row>
    <row r="26" customFormat="false" ht="15" hidden="false" customHeight="false" outlineLevel="0" collapsed="false">
      <c r="A26" s="13" t="s">
        <v>36</v>
      </c>
      <c r="B26" s="13"/>
      <c r="C26" s="13" t="s">
        <v>575</v>
      </c>
      <c r="D26" s="13" t="s">
        <v>576</v>
      </c>
      <c r="E26" s="13" t="s">
        <v>30</v>
      </c>
      <c r="F26" s="13" t="s">
        <v>28</v>
      </c>
      <c r="G26" s="14" t="n">
        <v>57917</v>
      </c>
      <c r="H26" s="13" t="s">
        <v>20</v>
      </c>
      <c r="I26" s="15" t="n">
        <v>0.0033</v>
      </c>
      <c r="J26" s="16" t="n">
        <f aca="false">IFERROR(INDEX('Como ler'!$B$20:$B$24,MATCH(H26,'Como ler'!$A$20:$A$24,0)),"")</f>
        <v>0.015</v>
      </c>
      <c r="K26" s="17" t="n">
        <f aca="false">IF(OR(I26="",J26=""),"",I26/J26)</f>
        <v>0.22</v>
      </c>
      <c r="L26" s="14" t="n">
        <v>1435</v>
      </c>
      <c r="M26" s="18" t="n">
        <v>29.2</v>
      </c>
      <c r="N26" s="14" t="n">
        <v>4004</v>
      </c>
      <c r="O26" s="17" t="n">
        <f aca="false">IF(OR(N26="",G26=0),"",N26/G26)</f>
        <v>0.0691334150594817</v>
      </c>
      <c r="P26" s="19" t="n">
        <v>0.67</v>
      </c>
      <c r="Q26" s="20" t="n">
        <v>3</v>
      </c>
      <c r="R26" s="21" t="n">
        <v>46292</v>
      </c>
      <c r="S26" s="22" t="n">
        <f aca="false">IF(R26="","",'Como ler'!$B$27-R26)</f>
        <v>0</v>
      </c>
      <c r="T26" s="13" t="n">
        <v>0</v>
      </c>
      <c r="U26" s="13"/>
      <c r="V26" s="13" t="s">
        <v>44</v>
      </c>
      <c r="W26" s="13" t="s">
        <v>577</v>
      </c>
      <c r="X26" s="23" t="s">
        <v>94</v>
      </c>
      <c r="Y26" s="13" t="n">
        <f aca="false">ROUND(IF(K26="",0,MIN(40,40*K26/1.5))+IF(S26="",0,IF(S26&lt;=7,20,IF(S26&lt;=30,12,IF(S26&lt;=90,5,0))))+IF(Q26="",0,MIN(15,Q26*5))+IF(O26="",0,MIN(15,O26*30))+IF(E26="Criador(a)",10,IF(E26="Especialista que cria conteúdo",6,4)),0)</f>
        <v>53</v>
      </c>
      <c r="Z26" s="13"/>
      <c r="AA26" s="13" t="s">
        <v>113</v>
      </c>
      <c r="AB26" s="13"/>
      <c r="AC26" s="13"/>
      <c r="AD26" s="13" t="s">
        <v>578</v>
      </c>
      <c r="AE26" s="13" t="s">
        <v>579</v>
      </c>
      <c r="AF26" s="13" t="s">
        <v>580</v>
      </c>
      <c r="AG26" s="24" t="s">
        <v>581</v>
      </c>
      <c r="AH26" s="13" t="s">
        <v>100</v>
      </c>
      <c r="AI26" s="13"/>
    </row>
    <row r="27" customFormat="false" ht="15" hidden="false" customHeight="false" outlineLevel="0" collapsed="false">
      <c r="A27" s="13" t="s">
        <v>36</v>
      </c>
      <c r="B27" s="13"/>
      <c r="C27" s="13" t="s">
        <v>582</v>
      </c>
      <c r="D27" s="13" t="s">
        <v>583</v>
      </c>
      <c r="E27" s="13" t="s">
        <v>30</v>
      </c>
      <c r="F27" s="13" t="s">
        <v>28</v>
      </c>
      <c r="G27" s="14" t="n">
        <v>49027</v>
      </c>
      <c r="H27" s="13" t="s">
        <v>20</v>
      </c>
      <c r="I27" s="15" t="n">
        <v>0.0156</v>
      </c>
      <c r="J27" s="16" t="n">
        <f aca="false">IFERROR(INDEX('Como ler'!$B$20:$B$24,MATCH(H27,'Como ler'!$A$20:$A$24,0)),"")</f>
        <v>0.015</v>
      </c>
      <c r="K27" s="17" t="n">
        <f aca="false">IF(OR(I27="",J27=""),"",I27/J27)</f>
        <v>1.04</v>
      </c>
      <c r="L27" s="14" t="n">
        <v>2757</v>
      </c>
      <c r="M27" s="18" t="n">
        <v>43.8</v>
      </c>
      <c r="N27" s="14" t="n">
        <v>14307</v>
      </c>
      <c r="O27" s="17" t="n">
        <f aca="false">IF(OR(N27="",G27=0),"",N27/G27)</f>
        <v>0.291818793725906</v>
      </c>
      <c r="P27" s="19" t="n">
        <v>1</v>
      </c>
      <c r="Q27" s="20" t="n">
        <v>2.4</v>
      </c>
      <c r="R27" s="21" t="n">
        <v>46279</v>
      </c>
      <c r="S27" s="22" t="n">
        <f aca="false">IF(R27="","",'Como ler'!$B$27-R27)</f>
        <v>13</v>
      </c>
      <c r="T27" s="13" t="n">
        <v>0</v>
      </c>
      <c r="U27" s="13"/>
      <c r="V27" s="13" t="s">
        <v>53</v>
      </c>
      <c r="W27" s="13" t="s">
        <v>584</v>
      </c>
      <c r="X27" s="26" t="s">
        <v>129</v>
      </c>
      <c r="Y27" s="13" t="n">
        <f aca="false">ROUND(IF(K27="",0,MIN(40,40*K27/1.5))+IF(S27="",0,IF(S27&lt;=7,20,IF(S27&lt;=30,12,IF(S27&lt;=90,5,0))))+IF(Q27="",0,MIN(15,Q27*5))+IF(O27="",0,MIN(15,O27*30))+IF(E27="Criador(a)",10,IF(E27="Especialista que cria conteúdo",6,4)),0)</f>
        <v>70</v>
      </c>
      <c r="Z27" s="13"/>
      <c r="AA27" s="13" t="s">
        <v>113</v>
      </c>
      <c r="AB27" s="13"/>
      <c r="AC27" s="13"/>
      <c r="AD27" s="13" t="s">
        <v>493</v>
      </c>
      <c r="AE27" s="13"/>
      <c r="AF27" s="13" t="s">
        <v>585</v>
      </c>
      <c r="AG27" s="24" t="s">
        <v>586</v>
      </c>
      <c r="AH27" s="13" t="s">
        <v>100</v>
      </c>
      <c r="AI27" s="13"/>
    </row>
    <row r="28" customFormat="false" ht="15" hidden="false" customHeight="false" outlineLevel="0" collapsed="false">
      <c r="A28" s="13" t="s">
        <v>36</v>
      </c>
      <c r="B28" s="13"/>
      <c r="C28" s="13" t="s">
        <v>587</v>
      </c>
      <c r="D28" s="13" t="s">
        <v>588</v>
      </c>
      <c r="E28" s="13" t="s">
        <v>157</v>
      </c>
      <c r="F28" s="13" t="s">
        <v>28</v>
      </c>
      <c r="G28" s="14" t="n">
        <v>46025</v>
      </c>
      <c r="H28" s="13" t="s">
        <v>20</v>
      </c>
      <c r="I28" s="15" t="n">
        <v>0.0021</v>
      </c>
      <c r="J28" s="16" t="n">
        <f aca="false">IFERROR(INDEX('Como ler'!$B$20:$B$24,MATCH(H28,'Como ler'!$A$20:$A$24,0)),"")</f>
        <v>0.015</v>
      </c>
      <c r="K28" s="17" t="n">
        <f aca="false">IF(OR(I28="",J28=""),"",I28/J28)</f>
        <v>0.14</v>
      </c>
      <c r="L28" s="14" t="n">
        <v>109</v>
      </c>
      <c r="M28" s="18" t="n">
        <v>6.4</v>
      </c>
      <c r="N28" s="14" t="n">
        <v>2141</v>
      </c>
      <c r="O28" s="17" t="n">
        <f aca="false">IF(OR(N28="",G28=0),"",N28/G28)</f>
        <v>0.0465181966322651</v>
      </c>
      <c r="P28" s="19" t="n">
        <v>0.78</v>
      </c>
      <c r="Q28" s="20" t="n">
        <v>2.1</v>
      </c>
      <c r="R28" s="21" t="n">
        <v>46286</v>
      </c>
      <c r="S28" s="22" t="n">
        <f aca="false">IF(R28="","",'Como ler'!$B$27-R28)</f>
        <v>6</v>
      </c>
      <c r="T28" s="13" t="n">
        <v>0</v>
      </c>
      <c r="U28" s="13"/>
      <c r="V28" s="13" t="s">
        <v>50</v>
      </c>
      <c r="W28" s="13" t="s">
        <v>589</v>
      </c>
      <c r="X28" s="23" t="s">
        <v>94</v>
      </c>
      <c r="Y28" s="13" t="n">
        <f aca="false">ROUND(IF(K28="",0,MIN(40,40*K28/1.5))+IF(S28="",0,IF(S28&lt;=7,20,IF(S28&lt;=30,12,IF(S28&lt;=90,5,0))))+IF(Q28="",0,MIN(15,Q28*5))+IF(O28="",0,MIN(15,O28*30))+IF(E28="Criador(a)",10,IF(E28="Especialista que cria conteúdo",6,4)),0)</f>
        <v>42</v>
      </c>
      <c r="Z28" s="13" t="s">
        <v>159</v>
      </c>
      <c r="AA28" s="13" t="s">
        <v>113</v>
      </c>
      <c r="AB28" s="13" t="s">
        <v>113</v>
      </c>
      <c r="AC28" s="13" t="s">
        <v>114</v>
      </c>
      <c r="AD28" s="13" t="s">
        <v>590</v>
      </c>
      <c r="AE28" s="13" t="s">
        <v>591</v>
      </c>
      <c r="AF28" s="13" t="s">
        <v>592</v>
      </c>
      <c r="AG28" s="24" t="s">
        <v>593</v>
      </c>
      <c r="AH28" s="13" t="s">
        <v>100</v>
      </c>
      <c r="AI28" s="13"/>
    </row>
    <row r="29" customFormat="false" ht="15" hidden="false" customHeight="false" outlineLevel="0" collapsed="false">
      <c r="A29" s="13" t="s">
        <v>36</v>
      </c>
      <c r="B29" s="13"/>
      <c r="C29" s="13" t="s">
        <v>594</v>
      </c>
      <c r="D29" s="13" t="s">
        <v>595</v>
      </c>
      <c r="E29" s="13" t="s">
        <v>157</v>
      </c>
      <c r="F29" s="13" t="s">
        <v>28</v>
      </c>
      <c r="G29" s="14" t="n">
        <v>44110</v>
      </c>
      <c r="H29" s="13" t="s">
        <v>20</v>
      </c>
      <c r="I29" s="15" t="n">
        <v>0.0034</v>
      </c>
      <c r="J29" s="16" t="n">
        <f aca="false">IFERROR(INDEX('Como ler'!$B$20:$B$24,MATCH(H29,'Como ler'!$A$20:$A$24,0)),"")</f>
        <v>0.015</v>
      </c>
      <c r="K29" s="17" t="n">
        <f aca="false">IF(OR(I29="",J29=""),"",I29/J29)</f>
        <v>0.226666666666667</v>
      </c>
      <c r="L29" s="14" t="n">
        <v>168</v>
      </c>
      <c r="M29" s="18" t="n">
        <v>27.3</v>
      </c>
      <c r="N29" s="14" t="n">
        <v>1115</v>
      </c>
      <c r="O29" s="17" t="n">
        <f aca="false">IF(OR(N29="",G29=0),"",N29/G29)</f>
        <v>0.0252777148038993</v>
      </c>
      <c r="P29" s="19" t="n">
        <v>0.56</v>
      </c>
      <c r="Q29" s="20" t="n">
        <v>7</v>
      </c>
      <c r="R29" s="21" t="n">
        <v>46291</v>
      </c>
      <c r="S29" s="22" t="n">
        <f aca="false">IF(R29="","",'Como ler'!$B$27-R29)</f>
        <v>1</v>
      </c>
      <c r="T29" s="13" t="n">
        <v>0</v>
      </c>
      <c r="U29" s="13"/>
      <c r="V29" s="13" t="s">
        <v>52</v>
      </c>
      <c r="W29" s="13" t="s">
        <v>596</v>
      </c>
      <c r="X29" s="23" t="s">
        <v>94</v>
      </c>
      <c r="Y29" s="13" t="n">
        <f aca="false">ROUND(IF(K29="",0,MIN(40,40*K29/1.5))+IF(S29="",0,IF(S29&lt;=7,20,IF(S29&lt;=30,12,IF(S29&lt;=90,5,0))))+IF(Q29="",0,MIN(15,Q29*5))+IF(O29="",0,MIN(15,O29*30))+IF(E29="Criador(a)",10,IF(E29="Especialista que cria conteúdo",6,4)),0)</f>
        <v>48</v>
      </c>
      <c r="Z29" s="13"/>
      <c r="AA29" s="13"/>
      <c r="AB29" s="13" t="s">
        <v>113</v>
      </c>
      <c r="AC29" s="13"/>
      <c r="AD29" s="13" t="s">
        <v>597</v>
      </c>
      <c r="AE29" s="13" t="s">
        <v>598</v>
      </c>
      <c r="AF29" s="13" t="s">
        <v>599</v>
      </c>
      <c r="AG29" s="24" t="s">
        <v>600</v>
      </c>
      <c r="AH29" s="13" t="s">
        <v>100</v>
      </c>
      <c r="AI29" s="13"/>
    </row>
    <row r="30" customFormat="false" ht="15" hidden="false" customHeight="false" outlineLevel="0" collapsed="false">
      <c r="A30" s="13" t="s">
        <v>36</v>
      </c>
      <c r="B30" s="13"/>
      <c r="C30" s="13" t="s">
        <v>601</v>
      </c>
      <c r="D30" s="13" t="s">
        <v>602</v>
      </c>
      <c r="E30" s="13" t="s">
        <v>157</v>
      </c>
      <c r="F30" s="13" t="s">
        <v>28</v>
      </c>
      <c r="G30" s="14" t="n">
        <v>40058</v>
      </c>
      <c r="H30" s="13" t="s">
        <v>20</v>
      </c>
      <c r="I30" s="15" t="n">
        <v>0.0029</v>
      </c>
      <c r="J30" s="16" t="n">
        <f aca="false">IFERROR(INDEX('Como ler'!$B$20:$B$24,MATCH(H30,'Como ler'!$A$20:$A$24,0)),"")</f>
        <v>0.015</v>
      </c>
      <c r="K30" s="17" t="n">
        <f aca="false">IF(OR(I30="",J30=""),"",I30/J30)</f>
        <v>0.193333333333333</v>
      </c>
      <c r="L30" s="14" t="n">
        <v>79</v>
      </c>
      <c r="M30" s="18" t="n">
        <v>40.7</v>
      </c>
      <c r="N30" s="14" t="n">
        <v>568</v>
      </c>
      <c r="O30" s="17" t="n">
        <f aca="false">IF(OR(N30="",G30=0),"",N30/G30)</f>
        <v>0.0141794398122722</v>
      </c>
      <c r="P30" s="19" t="n">
        <v>0.42</v>
      </c>
      <c r="Q30" s="20" t="n">
        <v>4.8</v>
      </c>
      <c r="R30" s="21" t="n">
        <v>46288</v>
      </c>
      <c r="S30" s="22" t="n">
        <f aca="false">IF(R30="","",'Como ler'!$B$27-R30)</f>
        <v>4</v>
      </c>
      <c r="T30" s="13" t="n">
        <v>0</v>
      </c>
      <c r="U30" s="13"/>
      <c r="V30" s="13" t="s">
        <v>47</v>
      </c>
      <c r="W30" s="13" t="s">
        <v>603</v>
      </c>
      <c r="X30" s="26" t="s">
        <v>129</v>
      </c>
      <c r="Y30" s="13" t="n">
        <f aca="false">ROUND(IF(K30="",0,MIN(40,40*K30/1.5))+IF(S30="",0,IF(S30&lt;=7,20,IF(S30&lt;=30,12,IF(S30&lt;=90,5,0))))+IF(Q30="",0,MIN(15,Q30*5))+IF(O30="",0,MIN(15,O30*30))+IF(E30="Criador(a)",10,IF(E30="Especialista que cria conteúdo",6,4)),0)</f>
        <v>47</v>
      </c>
      <c r="Z30" s="13" t="s">
        <v>604</v>
      </c>
      <c r="AA30" s="13"/>
      <c r="AB30" s="13"/>
      <c r="AC30" s="13"/>
      <c r="AD30" s="13" t="s">
        <v>605</v>
      </c>
      <c r="AE30" s="13" t="s">
        <v>606</v>
      </c>
      <c r="AF30" s="13" t="s">
        <v>607</v>
      </c>
      <c r="AG30" s="24" t="s">
        <v>608</v>
      </c>
      <c r="AH30" s="13" t="s">
        <v>100</v>
      </c>
      <c r="AI30" s="13"/>
    </row>
    <row r="31" customFormat="false" ht="15" hidden="false" customHeight="false" outlineLevel="0" collapsed="false">
      <c r="A31" s="13" t="s">
        <v>36</v>
      </c>
      <c r="B31" s="13" t="s">
        <v>35</v>
      </c>
      <c r="C31" s="13" t="s">
        <v>609</v>
      </c>
      <c r="D31" s="13" t="s">
        <v>610</v>
      </c>
      <c r="E31" s="13" t="s">
        <v>200</v>
      </c>
      <c r="F31" s="13" t="s">
        <v>201</v>
      </c>
      <c r="G31" s="14" t="n">
        <v>37995</v>
      </c>
      <c r="H31" s="13" t="s">
        <v>20</v>
      </c>
      <c r="I31" s="15" t="n">
        <v>0.0079</v>
      </c>
      <c r="J31" s="16" t="n">
        <f aca="false">IFERROR(INDEX('Como ler'!$B$20:$B$24,MATCH(H31,'Como ler'!$A$20:$A$24,0)),"")</f>
        <v>0.015</v>
      </c>
      <c r="K31" s="17" t="n">
        <f aca="false">IF(OR(I31="",J31=""),"",I31/J31)</f>
        <v>0.526666666666667</v>
      </c>
      <c r="L31" s="14" t="n">
        <v>3265</v>
      </c>
      <c r="M31" s="18" t="n">
        <v>83</v>
      </c>
      <c r="N31" s="14" t="n">
        <v>131</v>
      </c>
      <c r="O31" s="17" t="n">
        <f aca="false">IF(OR(N31="",G31=0),"",N31/G31)</f>
        <v>0.00344782208185288</v>
      </c>
      <c r="P31" s="19" t="n">
        <v>1</v>
      </c>
      <c r="Q31" s="20" t="n">
        <v>2.1</v>
      </c>
      <c r="R31" s="21" t="n">
        <v>46229</v>
      </c>
      <c r="S31" s="22" t="n">
        <f aca="false">IF(R31="","",'Como ler'!$B$27-R31)</f>
        <v>63</v>
      </c>
      <c r="T31" s="13" t="n">
        <v>0</v>
      </c>
      <c r="U31" s="13"/>
      <c r="V31" s="13" t="s">
        <v>57</v>
      </c>
      <c r="W31" s="13" t="s">
        <v>57</v>
      </c>
      <c r="X31" s="25" t="s">
        <v>104</v>
      </c>
      <c r="Y31" s="13" t="n">
        <f aca="false">ROUND(IF(K31="",0,MIN(40,40*K31/1.5))+IF(S31="",0,IF(S31&lt;=7,20,IF(S31&lt;=30,12,IF(S31&lt;=90,5,0))))+IF(Q31="",0,MIN(15,Q31*5))+IF(O31="",0,MIN(15,O31*30))+IF(E31="Criador(a)",10,IF(E31="Especialista que cria conteúdo",6,4)),0)</f>
        <v>34</v>
      </c>
      <c r="Z31" s="13" t="s">
        <v>289</v>
      </c>
      <c r="AA31" s="13"/>
      <c r="AB31" s="13"/>
      <c r="AC31" s="13" t="s">
        <v>130</v>
      </c>
      <c r="AD31" s="13" t="s">
        <v>611</v>
      </c>
      <c r="AE31" s="13" t="s">
        <v>612</v>
      </c>
      <c r="AF31" s="13" t="s">
        <v>613</v>
      </c>
      <c r="AG31" s="24" t="s">
        <v>614</v>
      </c>
      <c r="AH31" s="13" t="s">
        <v>100</v>
      </c>
      <c r="AI31" s="13"/>
    </row>
    <row r="32" customFormat="false" ht="15" hidden="false" customHeight="false" outlineLevel="0" collapsed="false">
      <c r="A32" s="13" t="s">
        <v>36</v>
      </c>
      <c r="B32" s="13"/>
      <c r="C32" s="13" t="s">
        <v>615</v>
      </c>
      <c r="D32" s="13" t="s">
        <v>616</v>
      </c>
      <c r="E32" s="13" t="s">
        <v>157</v>
      </c>
      <c r="F32" s="13" t="s">
        <v>29</v>
      </c>
      <c r="G32" s="14" t="n">
        <v>37833</v>
      </c>
      <c r="H32" s="13" t="s">
        <v>20</v>
      </c>
      <c r="I32" s="15" t="n">
        <v>0.001</v>
      </c>
      <c r="J32" s="16" t="n">
        <f aca="false">IFERROR(INDEX('Como ler'!$B$20:$B$24,MATCH(H32,'Como ler'!$A$20:$A$24,0)),"")</f>
        <v>0.015</v>
      </c>
      <c r="K32" s="17" t="n">
        <f aca="false">IF(OR(I32="",J32=""),"",I32/J32)</f>
        <v>0.0666666666666667</v>
      </c>
      <c r="L32" s="14" t="n">
        <v>54</v>
      </c>
      <c r="M32" s="18" t="n">
        <v>6.7</v>
      </c>
      <c r="N32" s="14" t="n">
        <v>845</v>
      </c>
      <c r="O32" s="17" t="n">
        <f aca="false">IF(OR(N32="",G32=0),"",N32/G32)</f>
        <v>0.0223349985462427</v>
      </c>
      <c r="P32" s="19" t="n">
        <v>0.08</v>
      </c>
      <c r="Q32" s="20" t="n">
        <v>7</v>
      </c>
      <c r="R32" s="21" t="n">
        <v>46292</v>
      </c>
      <c r="S32" s="22" t="n">
        <f aca="false">IF(R32="","",'Como ler'!$B$27-R32)</f>
        <v>0</v>
      </c>
      <c r="T32" s="13" t="n">
        <v>0</v>
      </c>
      <c r="U32" s="13"/>
      <c r="V32" s="13"/>
      <c r="W32" s="13"/>
      <c r="X32" s="25" t="s">
        <v>104</v>
      </c>
      <c r="Y32" s="13" t="n">
        <f aca="false">ROUND(IF(K32="",0,MIN(40,40*K32/1.5))+IF(S32="",0,IF(S32&lt;=7,20,IF(S32&lt;=30,12,IF(S32&lt;=90,5,0))))+IF(Q32="",0,MIN(15,Q32*5))+IF(O32="",0,MIN(15,O32*30))+IF(E32="Criador(a)",10,IF(E32="Especialista que cria conteúdo",6,4)),0)</f>
        <v>43</v>
      </c>
      <c r="Z32" s="13"/>
      <c r="AA32" s="13"/>
      <c r="AB32" s="13"/>
      <c r="AC32" s="13"/>
      <c r="AD32" s="13" t="s">
        <v>523</v>
      </c>
      <c r="AE32" s="13" t="s">
        <v>617</v>
      </c>
      <c r="AF32" s="13" t="s">
        <v>618</v>
      </c>
      <c r="AG32" s="24" t="s">
        <v>619</v>
      </c>
      <c r="AH32" s="13" t="s">
        <v>100</v>
      </c>
      <c r="AI32" s="13"/>
    </row>
    <row r="33" customFormat="false" ht="15" hidden="false" customHeight="false" outlineLevel="0" collapsed="false">
      <c r="A33" s="13" t="s">
        <v>36</v>
      </c>
      <c r="B33" s="13" t="s">
        <v>38</v>
      </c>
      <c r="C33" s="13" t="s">
        <v>620</v>
      </c>
      <c r="D33" s="13" t="s">
        <v>621</v>
      </c>
      <c r="E33" s="13" t="s">
        <v>200</v>
      </c>
      <c r="F33" s="13" t="s">
        <v>201</v>
      </c>
      <c r="G33" s="14" t="n">
        <v>35099</v>
      </c>
      <c r="H33" s="13" t="s">
        <v>20</v>
      </c>
      <c r="I33" s="15" t="n">
        <v>0.0062</v>
      </c>
      <c r="J33" s="16" t="n">
        <f aca="false">IFERROR(INDEX('Como ler'!$B$20:$B$24,MATCH(H33,'Como ler'!$A$20:$A$24,0)),"")</f>
        <v>0.015</v>
      </c>
      <c r="K33" s="17" t="n">
        <f aca="false">IF(OR(I33="",J33=""),"",I33/J33)</f>
        <v>0.413333333333333</v>
      </c>
      <c r="L33" s="14" t="n">
        <v>387</v>
      </c>
      <c r="M33" s="18" t="n">
        <v>34.1</v>
      </c>
      <c r="N33" s="14" t="n">
        <v>1973</v>
      </c>
      <c r="O33" s="17" t="n">
        <f aca="false">IF(OR(N33="",G33=0),"",N33/G33)</f>
        <v>0.056212427704493</v>
      </c>
      <c r="P33" s="19" t="n">
        <v>0.82</v>
      </c>
      <c r="Q33" s="20" t="n">
        <v>0.3</v>
      </c>
      <c r="R33" s="21" t="n">
        <v>46285</v>
      </c>
      <c r="S33" s="22" t="n">
        <f aca="false">IF(R33="","",'Como ler'!$B$27-R33)</f>
        <v>7</v>
      </c>
      <c r="T33" s="13" t="n">
        <v>0</v>
      </c>
      <c r="U33" s="13"/>
      <c r="V33" s="13" t="s">
        <v>57</v>
      </c>
      <c r="W33" s="13" t="s">
        <v>57</v>
      </c>
      <c r="X33" s="25" t="s">
        <v>104</v>
      </c>
      <c r="Y33" s="13" t="n">
        <f aca="false">ROUND(IF(K33="",0,MIN(40,40*K33/1.5))+IF(S33="",0,IF(S33&lt;=7,20,IF(S33&lt;=30,12,IF(S33&lt;=90,5,0))))+IF(Q33="",0,MIN(15,Q33*5))+IF(O33="",0,MIN(15,O33*30))+IF(E33="Criador(a)",10,IF(E33="Especialista que cria conteúdo",6,4)),0)</f>
        <v>38</v>
      </c>
      <c r="Z33" s="13" t="s">
        <v>622</v>
      </c>
      <c r="AA33" s="13"/>
      <c r="AB33" s="13"/>
      <c r="AC33" s="13" t="s">
        <v>130</v>
      </c>
      <c r="AD33" s="13" t="s">
        <v>623</v>
      </c>
      <c r="AE33" s="13" t="s">
        <v>624</v>
      </c>
      <c r="AF33" s="13" t="s">
        <v>625</v>
      </c>
      <c r="AG33" s="24" t="s">
        <v>626</v>
      </c>
      <c r="AH33" s="13" t="s">
        <v>100</v>
      </c>
      <c r="AI33" s="13"/>
    </row>
    <row r="34" customFormat="false" ht="15" hidden="false" customHeight="false" outlineLevel="0" collapsed="false">
      <c r="A34" s="13" t="s">
        <v>36</v>
      </c>
      <c r="B34" s="13" t="s">
        <v>37</v>
      </c>
      <c r="C34" s="13" t="s">
        <v>627</v>
      </c>
      <c r="D34" s="13" t="s">
        <v>628</v>
      </c>
      <c r="E34" s="13" t="s">
        <v>30</v>
      </c>
      <c r="F34" s="13" t="s">
        <v>28</v>
      </c>
      <c r="G34" s="14" t="n">
        <v>29874</v>
      </c>
      <c r="H34" s="13" t="s">
        <v>19</v>
      </c>
      <c r="I34" s="15" t="n">
        <v>0.0218</v>
      </c>
      <c r="J34" s="16" t="n">
        <f aca="false">IFERROR(INDEX('Como ler'!$B$20:$B$24,MATCH(H34,'Como ler'!$A$20:$A$24,0)),"")</f>
        <v>0.025</v>
      </c>
      <c r="K34" s="17" t="n">
        <f aca="false">IF(OR(I34="",J34=""),"",I34/J34)</f>
        <v>0.872</v>
      </c>
      <c r="L34" s="14" t="n">
        <v>726</v>
      </c>
      <c r="M34" s="18" t="n">
        <v>31.4</v>
      </c>
      <c r="N34" s="14" t="n">
        <v>2510</v>
      </c>
      <c r="O34" s="17" t="n">
        <f aca="false">IF(OR(N34="",G34=0),"",N34/G34)</f>
        <v>0.084019548771507</v>
      </c>
      <c r="P34" s="19" t="n">
        <v>0.67</v>
      </c>
      <c r="Q34" s="20" t="n">
        <v>14</v>
      </c>
      <c r="R34" s="21" t="n">
        <v>46292</v>
      </c>
      <c r="S34" s="22" t="n">
        <f aca="false">IF(R34="","",'Como ler'!$B$27-R34)</f>
        <v>0</v>
      </c>
      <c r="T34" s="13" t="n">
        <v>0</v>
      </c>
      <c r="U34" s="13"/>
      <c r="V34" s="13" t="s">
        <v>45</v>
      </c>
      <c r="W34" s="13" t="s">
        <v>629</v>
      </c>
      <c r="X34" s="26" t="s">
        <v>129</v>
      </c>
      <c r="Y34" s="13" t="n">
        <f aca="false">ROUND(IF(K34="",0,MIN(40,40*K34/1.5))+IF(S34="",0,IF(S34&lt;=7,20,IF(S34&lt;=30,12,IF(S34&lt;=90,5,0))))+IF(Q34="",0,MIN(15,Q34*5))+IF(O34="",0,MIN(15,O34*30))+IF(E34="Criador(a)",10,IF(E34="Especialista que cria conteúdo",6,4)),0)</f>
        <v>71</v>
      </c>
      <c r="Z34" s="13" t="s">
        <v>105</v>
      </c>
      <c r="AA34" s="13"/>
      <c r="AB34" s="13" t="s">
        <v>113</v>
      </c>
      <c r="AC34" s="13" t="s">
        <v>130</v>
      </c>
      <c r="AD34" s="13" t="s">
        <v>630</v>
      </c>
      <c r="AE34" s="13" t="s">
        <v>631</v>
      </c>
      <c r="AF34" s="13" t="s">
        <v>632</v>
      </c>
      <c r="AG34" s="24" t="s">
        <v>633</v>
      </c>
      <c r="AH34" s="13" t="s">
        <v>100</v>
      </c>
      <c r="AI34" s="13"/>
    </row>
    <row r="35" customFormat="false" ht="15" hidden="false" customHeight="false" outlineLevel="0" collapsed="false">
      <c r="A35" s="13" t="s">
        <v>36</v>
      </c>
      <c r="B35" s="13"/>
      <c r="C35" s="13" t="s">
        <v>634</v>
      </c>
      <c r="D35" s="13" t="s">
        <v>635</v>
      </c>
      <c r="E35" s="13" t="s">
        <v>157</v>
      </c>
      <c r="F35" s="13" t="s">
        <v>29</v>
      </c>
      <c r="G35" s="14" t="n">
        <v>27825</v>
      </c>
      <c r="H35" s="13" t="s">
        <v>19</v>
      </c>
      <c r="I35" s="15" t="n">
        <v>0.0048</v>
      </c>
      <c r="J35" s="16" t="n">
        <f aca="false">IFERROR(INDEX('Como ler'!$B$20:$B$24,MATCH(H35,'Como ler'!$A$20:$A$24,0)),"")</f>
        <v>0.025</v>
      </c>
      <c r="K35" s="17" t="n">
        <f aca="false">IF(OR(I35="",J35=""),"",I35/J35)</f>
        <v>0.192</v>
      </c>
      <c r="L35" s="14" t="n">
        <v>258</v>
      </c>
      <c r="M35" s="18" t="n">
        <v>10.2</v>
      </c>
      <c r="N35" s="14" t="n">
        <v>1288</v>
      </c>
      <c r="O35" s="17" t="n">
        <f aca="false">IF(OR(N35="",G35=0),"",N35/G35)</f>
        <v>0.0462893081761006</v>
      </c>
      <c r="P35" s="19" t="n">
        <v>0.45</v>
      </c>
      <c r="Q35" s="20" t="n">
        <v>0.1</v>
      </c>
      <c r="R35" s="21" t="n">
        <v>46140</v>
      </c>
      <c r="S35" s="22" t="n">
        <f aca="false">IF(R35="","",'Como ler'!$B$27-R35)</f>
        <v>152</v>
      </c>
      <c r="T35" s="13" t="n">
        <v>0</v>
      </c>
      <c r="U35" s="13"/>
      <c r="V35" s="13"/>
      <c r="W35" s="13"/>
      <c r="X35" s="25" t="s">
        <v>104</v>
      </c>
      <c r="Y35" s="13" t="n">
        <f aca="false">ROUND(IF(K35="",0,MIN(40,40*K35/1.5))+IF(S35="",0,IF(S35&lt;=7,20,IF(S35&lt;=30,12,IF(S35&lt;=90,5,0))))+IF(Q35="",0,MIN(15,Q35*5))+IF(O35="",0,MIN(15,O35*30))+IF(E35="Criador(a)",10,IF(E35="Especialista que cria conteúdo",6,4)),0)</f>
        <v>13</v>
      </c>
      <c r="Z35" s="13"/>
      <c r="AA35" s="13"/>
      <c r="AB35" s="13" t="s">
        <v>113</v>
      </c>
      <c r="AC35" s="13"/>
      <c r="AD35" s="13" t="s">
        <v>571</v>
      </c>
      <c r="AE35" s="13" t="s">
        <v>636</v>
      </c>
      <c r="AF35" s="13" t="s">
        <v>637</v>
      </c>
      <c r="AG35" s="24" t="s">
        <v>638</v>
      </c>
      <c r="AH35" s="13" t="s">
        <v>100</v>
      </c>
      <c r="AI35" s="13"/>
    </row>
    <row r="36" customFormat="false" ht="15" hidden="false" customHeight="false" outlineLevel="0" collapsed="false">
      <c r="A36" s="13" t="s">
        <v>36</v>
      </c>
      <c r="B36" s="13"/>
      <c r="C36" s="13" t="s">
        <v>639</v>
      </c>
      <c r="D36" s="13" t="s">
        <v>640</v>
      </c>
      <c r="E36" s="13" t="s">
        <v>30</v>
      </c>
      <c r="F36" s="13" t="s">
        <v>201</v>
      </c>
      <c r="G36" s="14" t="n">
        <v>26445</v>
      </c>
      <c r="H36" s="13" t="s">
        <v>19</v>
      </c>
      <c r="I36" s="15" t="n">
        <v>0.0069</v>
      </c>
      <c r="J36" s="16" t="n">
        <f aca="false">IFERROR(INDEX('Como ler'!$B$20:$B$24,MATCH(H36,'Como ler'!$A$20:$A$24,0)),"")</f>
        <v>0.025</v>
      </c>
      <c r="K36" s="17" t="n">
        <f aca="false">IF(OR(I36="",J36=""),"",I36/J36)</f>
        <v>0.276</v>
      </c>
      <c r="L36" s="14" t="n">
        <v>175</v>
      </c>
      <c r="M36" s="18" t="n">
        <v>9</v>
      </c>
      <c r="N36" s="14" t="n">
        <v>6938</v>
      </c>
      <c r="O36" s="17" t="n">
        <f aca="false">IF(OR(N36="",G36=0),"",N36/G36)</f>
        <v>0.262355832860654</v>
      </c>
      <c r="P36" s="19" t="n">
        <v>0.67</v>
      </c>
      <c r="Q36" s="20" t="n">
        <v>1.8</v>
      </c>
      <c r="R36" s="21" t="n">
        <v>45087</v>
      </c>
      <c r="S36" s="22" t="n">
        <f aca="false">IF(R36="","",'Como ler'!$B$27-R36)</f>
        <v>1205</v>
      </c>
      <c r="T36" s="13" t="n">
        <v>0</v>
      </c>
      <c r="U36" s="13"/>
      <c r="V36" s="13"/>
      <c r="W36" s="13"/>
      <c r="X36" s="25" t="s">
        <v>104</v>
      </c>
      <c r="Y36" s="13" t="n">
        <f aca="false">ROUND(IF(K36="",0,MIN(40,40*K36/1.5))+IF(S36="",0,IF(S36&lt;=7,20,IF(S36&lt;=30,12,IF(S36&lt;=90,5,0))))+IF(Q36="",0,MIN(15,Q36*5))+IF(O36="",0,MIN(15,O36*30))+IF(E36="Criador(a)",10,IF(E36="Especialista que cria conteúdo",6,4)),0)</f>
        <v>34</v>
      </c>
      <c r="Z36" s="13"/>
      <c r="AA36" s="13"/>
      <c r="AB36" s="13" t="s">
        <v>113</v>
      </c>
      <c r="AC36" s="13"/>
      <c r="AD36" s="13" t="s">
        <v>641</v>
      </c>
      <c r="AE36" s="13" t="s">
        <v>642</v>
      </c>
      <c r="AF36" s="13" t="s">
        <v>643</v>
      </c>
      <c r="AG36" s="24" t="s">
        <v>644</v>
      </c>
      <c r="AH36" s="13" t="s">
        <v>100</v>
      </c>
      <c r="AI36" s="13"/>
    </row>
    <row r="37" customFormat="false" ht="15" hidden="false" customHeight="false" outlineLevel="0" collapsed="false">
      <c r="A37" s="13" t="s">
        <v>36</v>
      </c>
      <c r="B37" s="13" t="s">
        <v>35</v>
      </c>
      <c r="C37" s="13" t="s">
        <v>645</v>
      </c>
      <c r="D37" s="13" t="s">
        <v>646</v>
      </c>
      <c r="E37" s="13" t="s">
        <v>157</v>
      </c>
      <c r="F37" s="13" t="s">
        <v>28</v>
      </c>
      <c r="G37" s="14" t="n">
        <v>26203</v>
      </c>
      <c r="H37" s="13" t="s">
        <v>19</v>
      </c>
      <c r="I37" s="15" t="n">
        <v>0.02</v>
      </c>
      <c r="J37" s="16" t="n">
        <f aca="false">IFERROR(INDEX('Como ler'!$B$20:$B$24,MATCH(H37,'Como ler'!$A$20:$A$24,0)),"")</f>
        <v>0.025</v>
      </c>
      <c r="K37" s="17" t="n">
        <f aca="false">IF(OR(I37="",J37=""),"",I37/J37)</f>
        <v>0.8</v>
      </c>
      <c r="L37" s="14" t="n">
        <v>738</v>
      </c>
      <c r="M37" s="18" t="n">
        <v>8</v>
      </c>
      <c r="N37" s="14" t="n">
        <v>1466</v>
      </c>
      <c r="O37" s="17" t="n">
        <f aca="false">IF(OR(N37="",G37=0),"",N37/G37)</f>
        <v>0.0559477922375301</v>
      </c>
      <c r="P37" s="19" t="n">
        <v>0.11</v>
      </c>
      <c r="Q37" s="20" t="n">
        <v>0.8</v>
      </c>
      <c r="R37" s="21" t="n">
        <v>46250</v>
      </c>
      <c r="S37" s="22" t="n">
        <f aca="false">IF(R37="","",'Como ler'!$B$27-R37)</f>
        <v>42</v>
      </c>
      <c r="T37" s="13" t="n">
        <v>0</v>
      </c>
      <c r="U37" s="13"/>
      <c r="V37" s="13" t="s">
        <v>55</v>
      </c>
      <c r="W37" s="13" t="s">
        <v>55</v>
      </c>
      <c r="X37" s="26" t="s">
        <v>129</v>
      </c>
      <c r="Y37" s="13" t="n">
        <f aca="false">ROUND(IF(K37="",0,MIN(40,40*K37/1.5))+IF(S37="",0,IF(S37&lt;=7,20,IF(S37&lt;=30,12,IF(S37&lt;=90,5,0))))+IF(Q37="",0,MIN(15,Q37*5))+IF(O37="",0,MIN(15,O37*30))+IF(E37="Criador(a)",10,IF(E37="Especialista que cria conteúdo",6,4)),0)</f>
        <v>38</v>
      </c>
      <c r="Z37" s="13" t="s">
        <v>105</v>
      </c>
      <c r="AA37" s="13"/>
      <c r="AB37" s="13" t="s">
        <v>113</v>
      </c>
      <c r="AC37" s="13"/>
      <c r="AD37" s="13" t="s">
        <v>647</v>
      </c>
      <c r="AE37" s="13" t="s">
        <v>648</v>
      </c>
      <c r="AF37" s="13" t="s">
        <v>649</v>
      </c>
      <c r="AG37" s="24" t="s">
        <v>650</v>
      </c>
      <c r="AH37" s="13" t="s">
        <v>100</v>
      </c>
      <c r="AI37" s="13"/>
    </row>
    <row r="38" customFormat="false" ht="15" hidden="false" customHeight="false" outlineLevel="0" collapsed="false">
      <c r="A38" s="13" t="s">
        <v>36</v>
      </c>
      <c r="B38" s="13"/>
      <c r="C38" s="13" t="s">
        <v>651</v>
      </c>
      <c r="D38" s="13" t="s">
        <v>652</v>
      </c>
      <c r="E38" s="13" t="s">
        <v>157</v>
      </c>
      <c r="F38" s="13" t="s">
        <v>29</v>
      </c>
      <c r="G38" s="14" t="n">
        <v>25962</v>
      </c>
      <c r="H38" s="13" t="s">
        <v>19</v>
      </c>
      <c r="I38" s="15" t="n">
        <v>0.003</v>
      </c>
      <c r="J38" s="16" t="n">
        <f aca="false">IFERROR(INDEX('Como ler'!$B$20:$B$24,MATCH(H38,'Como ler'!$A$20:$A$24,0)),"")</f>
        <v>0.025</v>
      </c>
      <c r="K38" s="17" t="n">
        <f aca="false">IF(OR(I38="",J38=""),"",I38/J38)</f>
        <v>0.12</v>
      </c>
      <c r="L38" s="14" t="n">
        <v>89</v>
      </c>
      <c r="M38" s="18" t="n">
        <v>40</v>
      </c>
      <c r="N38" s="14" t="n">
        <v>3780</v>
      </c>
      <c r="O38" s="17" t="n">
        <f aca="false">IF(OR(N38="",G38=0),"",N38/G38)</f>
        <v>0.145597411601572</v>
      </c>
      <c r="P38" s="19" t="n">
        <v>0.11</v>
      </c>
      <c r="Q38" s="20" t="n">
        <v>1.6</v>
      </c>
      <c r="R38" s="21" t="n">
        <v>46290</v>
      </c>
      <c r="S38" s="22" t="n">
        <f aca="false">IF(R38="","",'Como ler'!$B$27-R38)</f>
        <v>2</v>
      </c>
      <c r="T38" s="13" t="n">
        <v>0</v>
      </c>
      <c r="U38" s="13"/>
      <c r="V38" s="13" t="s">
        <v>43</v>
      </c>
      <c r="W38" s="13" t="s">
        <v>43</v>
      </c>
      <c r="X38" s="26" t="s">
        <v>129</v>
      </c>
      <c r="Y38" s="13" t="n">
        <f aca="false">ROUND(IF(K38="",0,MIN(40,40*K38/1.5))+IF(S38="",0,IF(S38&lt;=7,20,IF(S38&lt;=30,12,IF(S38&lt;=90,5,0))))+IF(Q38="",0,MIN(15,Q38*5))+IF(O38="",0,MIN(15,O38*30))+IF(E38="Criador(a)",10,IF(E38="Especialista que cria conteúdo",6,4)),0)</f>
        <v>42</v>
      </c>
      <c r="Z38" s="13" t="s">
        <v>105</v>
      </c>
      <c r="AA38" s="13" t="s">
        <v>113</v>
      </c>
      <c r="AB38" s="13" t="s">
        <v>113</v>
      </c>
      <c r="AC38" s="13"/>
      <c r="AD38" s="13" t="s">
        <v>653</v>
      </c>
      <c r="AE38" s="13" t="s">
        <v>654</v>
      </c>
      <c r="AF38" s="13" t="s">
        <v>655</v>
      </c>
      <c r="AG38" s="24" t="s">
        <v>656</v>
      </c>
      <c r="AH38" s="13" t="s">
        <v>100</v>
      </c>
      <c r="AI38" s="13"/>
    </row>
    <row r="39" customFormat="false" ht="15" hidden="false" customHeight="false" outlineLevel="0" collapsed="false">
      <c r="A39" s="13" t="s">
        <v>36</v>
      </c>
      <c r="B39" s="13"/>
      <c r="C39" s="13" t="s">
        <v>657</v>
      </c>
      <c r="D39" s="13" t="s">
        <v>658</v>
      </c>
      <c r="E39" s="13" t="s">
        <v>30</v>
      </c>
      <c r="F39" s="13" t="s">
        <v>28</v>
      </c>
      <c r="G39" s="14" t="n">
        <v>24991</v>
      </c>
      <c r="H39" s="13" t="s">
        <v>19</v>
      </c>
      <c r="I39" s="15" t="n">
        <v>0.022</v>
      </c>
      <c r="J39" s="16" t="n">
        <f aca="false">IFERROR(INDEX('Como ler'!$B$20:$B$24,MATCH(H39,'Como ler'!$A$20:$A$24,0)),"")</f>
        <v>0.025</v>
      </c>
      <c r="K39" s="17" t="n">
        <f aca="false">IF(OR(I39="",J39=""),"",I39/J39)</f>
        <v>0.88</v>
      </c>
      <c r="L39" s="14" t="n">
        <v>598</v>
      </c>
      <c r="M39" s="18" t="n">
        <v>6.7</v>
      </c>
      <c r="N39" s="14" t="n">
        <v>344</v>
      </c>
      <c r="O39" s="17" t="n">
        <f aca="false">IF(OR(N39="",G39=0),"",N39/G39)</f>
        <v>0.0137649553839382</v>
      </c>
      <c r="P39" s="19" t="n">
        <v>0.22</v>
      </c>
      <c r="Q39" s="20" t="n">
        <v>0.1</v>
      </c>
      <c r="R39" s="21" t="n">
        <v>46226</v>
      </c>
      <c r="S39" s="22" t="n">
        <f aca="false">IF(R39="","",'Como ler'!$B$27-R39)</f>
        <v>66</v>
      </c>
      <c r="T39" s="13" t="n">
        <v>1</v>
      </c>
      <c r="U39" s="13"/>
      <c r="V39" s="13" t="s">
        <v>43</v>
      </c>
      <c r="W39" s="13" t="s">
        <v>659</v>
      </c>
      <c r="X39" s="26" t="s">
        <v>129</v>
      </c>
      <c r="Y39" s="13" t="n">
        <f aca="false">ROUND(IF(K39="",0,MIN(40,40*K39/1.5))+IF(S39="",0,IF(S39&lt;=7,20,IF(S39&lt;=30,12,IF(S39&lt;=90,5,0))))+IF(Q39="",0,MIN(15,Q39*5))+IF(O39="",0,MIN(15,O39*30))+IF(E39="Criador(a)",10,IF(E39="Especialista que cria conteúdo",6,4)),0)</f>
        <v>39</v>
      </c>
      <c r="Z39" s="13" t="s">
        <v>105</v>
      </c>
      <c r="AA39" s="13" t="s">
        <v>113</v>
      </c>
      <c r="AB39" s="13"/>
      <c r="AC39" s="13"/>
      <c r="AD39" s="13" t="s">
        <v>605</v>
      </c>
      <c r="AE39" s="13" t="s">
        <v>660</v>
      </c>
      <c r="AF39" s="13" t="s">
        <v>661</v>
      </c>
      <c r="AG39" s="24" t="s">
        <v>662</v>
      </c>
      <c r="AH39" s="13" t="s">
        <v>100</v>
      </c>
      <c r="AI39" s="13"/>
    </row>
    <row r="40" customFormat="false" ht="15" hidden="false" customHeight="false" outlineLevel="0" collapsed="false">
      <c r="A40" s="13" t="s">
        <v>36</v>
      </c>
      <c r="B40" s="13" t="s">
        <v>37</v>
      </c>
      <c r="C40" s="13" t="s">
        <v>663</v>
      </c>
      <c r="D40" s="13" t="s">
        <v>664</v>
      </c>
      <c r="E40" s="13" t="s">
        <v>200</v>
      </c>
      <c r="F40" s="13" t="s">
        <v>201</v>
      </c>
      <c r="G40" s="14" t="n">
        <v>24560</v>
      </c>
      <c r="H40" s="13" t="s">
        <v>19</v>
      </c>
      <c r="I40" s="15" t="n">
        <v>0.0014</v>
      </c>
      <c r="J40" s="16" t="n">
        <f aca="false">IFERROR(INDEX('Como ler'!$B$20:$B$24,MATCH(H40,'Como ler'!$A$20:$A$24,0)),"")</f>
        <v>0.025</v>
      </c>
      <c r="K40" s="17" t="n">
        <f aca="false">IF(OR(I40="",J40=""),"",I40/J40)</f>
        <v>0.056</v>
      </c>
      <c r="L40" s="14" t="n">
        <v>226</v>
      </c>
      <c r="M40" s="18" t="n">
        <v>5.3</v>
      </c>
      <c r="N40" s="14" t="n">
        <v>212</v>
      </c>
      <c r="O40" s="17" t="n">
        <f aca="false">IF(OR(N40="",G40=0),"",N40/G40)</f>
        <v>0.00863192182410424</v>
      </c>
      <c r="P40" s="19" t="n">
        <v>1</v>
      </c>
      <c r="Q40" s="20" t="n">
        <v>0.7</v>
      </c>
      <c r="R40" s="21" t="n">
        <v>46222</v>
      </c>
      <c r="S40" s="22" t="n">
        <f aca="false">IF(R40="","",'Como ler'!$B$27-R40)</f>
        <v>70</v>
      </c>
      <c r="T40" s="13" t="n">
        <v>0</v>
      </c>
      <c r="U40" s="13"/>
      <c r="V40" s="13" t="s">
        <v>57</v>
      </c>
      <c r="W40" s="13" t="s">
        <v>57</v>
      </c>
      <c r="X40" s="25" t="s">
        <v>104</v>
      </c>
      <c r="Y40" s="13" t="n">
        <f aca="false">ROUND(IF(K40="",0,MIN(40,40*K40/1.5))+IF(S40="",0,IF(S40&lt;=7,20,IF(S40&lt;=30,12,IF(S40&lt;=90,5,0))))+IF(Q40="",0,MIN(15,Q40*5))+IF(O40="",0,MIN(15,O40*30))+IF(E40="Criador(a)",10,IF(E40="Especialista que cria conteúdo",6,4)),0)</f>
        <v>14</v>
      </c>
      <c r="Z40" s="13"/>
      <c r="AA40" s="13"/>
      <c r="AB40" s="13" t="s">
        <v>113</v>
      </c>
      <c r="AC40" s="13"/>
      <c r="AD40" s="13" t="s">
        <v>665</v>
      </c>
      <c r="AE40" s="13" t="s">
        <v>666</v>
      </c>
      <c r="AF40" s="13" t="s">
        <v>667</v>
      </c>
      <c r="AG40" s="24" t="s">
        <v>668</v>
      </c>
      <c r="AH40" s="13" t="s">
        <v>100</v>
      </c>
      <c r="AI40" s="13"/>
    </row>
    <row r="41" customFormat="false" ht="15" hidden="false" customHeight="false" outlineLevel="0" collapsed="false">
      <c r="A41" s="13" t="s">
        <v>36</v>
      </c>
      <c r="B41" s="13"/>
      <c r="C41" s="13" t="s">
        <v>669</v>
      </c>
      <c r="D41" s="13" t="s">
        <v>670</v>
      </c>
      <c r="E41" s="13" t="s">
        <v>157</v>
      </c>
      <c r="F41" s="13" t="s">
        <v>29</v>
      </c>
      <c r="G41" s="14" t="n">
        <v>23216</v>
      </c>
      <c r="H41" s="13" t="s">
        <v>19</v>
      </c>
      <c r="I41" s="15" t="n">
        <v>0.0034</v>
      </c>
      <c r="J41" s="16" t="n">
        <f aca="false">IFERROR(INDEX('Como ler'!$B$20:$B$24,MATCH(H41,'Como ler'!$A$20:$A$24,0)),"")</f>
        <v>0.025</v>
      </c>
      <c r="K41" s="17" t="n">
        <f aca="false">IF(OR(I41="",J41=""),"",I41/J41)</f>
        <v>0.136</v>
      </c>
      <c r="L41" s="14" t="n">
        <v>105</v>
      </c>
      <c r="M41" s="18" t="n">
        <v>17.5</v>
      </c>
      <c r="N41" s="14" t="n">
        <v>510</v>
      </c>
      <c r="O41" s="17" t="n">
        <f aca="false">IF(OR(N41="",G41=0),"",N41/G41)</f>
        <v>0.0219676085458305</v>
      </c>
      <c r="P41" s="19" t="n">
        <v>0.83</v>
      </c>
      <c r="Q41" s="20" t="n">
        <v>0.1</v>
      </c>
      <c r="R41" s="21" t="n">
        <v>46284</v>
      </c>
      <c r="S41" s="22" t="n">
        <f aca="false">IF(R41="","",'Como ler'!$B$27-R41)</f>
        <v>8</v>
      </c>
      <c r="T41" s="13" t="n">
        <v>0</v>
      </c>
      <c r="U41" s="13"/>
      <c r="V41" s="13" t="s">
        <v>43</v>
      </c>
      <c r="W41" s="13" t="s">
        <v>671</v>
      </c>
      <c r="X41" s="26" t="s">
        <v>129</v>
      </c>
      <c r="Y41" s="13" t="n">
        <f aca="false">ROUND(IF(K41="",0,MIN(40,40*K41/1.5))+IF(S41="",0,IF(S41&lt;=7,20,IF(S41&lt;=30,12,IF(S41&lt;=90,5,0))))+IF(Q41="",0,MIN(15,Q41*5))+IF(O41="",0,MIN(15,O41*30))+IF(E41="Criador(a)",10,IF(E41="Especialista que cria conteúdo",6,4)),0)</f>
        <v>23</v>
      </c>
      <c r="Z41" s="13" t="s">
        <v>672</v>
      </c>
      <c r="AA41" s="13" t="s">
        <v>113</v>
      </c>
      <c r="AB41" s="13" t="s">
        <v>113</v>
      </c>
      <c r="AC41" s="13"/>
      <c r="AD41" s="13" t="s">
        <v>578</v>
      </c>
      <c r="AE41" s="13" t="s">
        <v>673</v>
      </c>
      <c r="AF41" s="13" t="s">
        <v>674</v>
      </c>
      <c r="AG41" s="24" t="s">
        <v>675</v>
      </c>
      <c r="AH41" s="13" t="s">
        <v>100</v>
      </c>
      <c r="AI41" s="13"/>
    </row>
    <row r="42" customFormat="false" ht="15" hidden="false" customHeight="false" outlineLevel="0" collapsed="false">
      <c r="A42" s="13" t="s">
        <v>36</v>
      </c>
      <c r="B42" s="13" t="s">
        <v>35</v>
      </c>
      <c r="C42" s="13" t="s">
        <v>676</v>
      </c>
      <c r="D42" s="13" t="s">
        <v>677</v>
      </c>
      <c r="E42" s="13" t="s">
        <v>30</v>
      </c>
      <c r="F42" s="13" t="s">
        <v>28</v>
      </c>
      <c r="G42" s="14" t="n">
        <v>22210</v>
      </c>
      <c r="H42" s="13" t="s">
        <v>19</v>
      </c>
      <c r="I42" s="15" t="n">
        <v>0.0009</v>
      </c>
      <c r="J42" s="16" t="n">
        <f aca="false">IFERROR(INDEX('Como ler'!$B$20:$B$24,MATCH(H42,'Como ler'!$A$20:$A$24,0)),"")</f>
        <v>0.025</v>
      </c>
      <c r="K42" s="17" t="n">
        <f aca="false">IF(OR(I42="",J42=""),"",I42/J42)</f>
        <v>0.036</v>
      </c>
      <c r="L42" s="14" t="n">
        <v>36</v>
      </c>
      <c r="M42" s="18" t="n">
        <v>2.4</v>
      </c>
      <c r="N42" s="14" t="n">
        <v>222</v>
      </c>
      <c r="O42" s="17" t="n">
        <f aca="false">IF(OR(N42="",G42=0),"",N42/G42)</f>
        <v>0.009995497523638</v>
      </c>
      <c r="P42" s="19" t="n">
        <v>1</v>
      </c>
      <c r="Q42" s="20" t="n">
        <v>6.2</v>
      </c>
      <c r="R42" s="21" t="n">
        <v>46292</v>
      </c>
      <c r="S42" s="22" t="n">
        <f aca="false">IF(R42="","",'Como ler'!$B$27-R42)</f>
        <v>0</v>
      </c>
      <c r="T42" s="13" t="n">
        <v>0</v>
      </c>
      <c r="U42" s="13"/>
      <c r="V42" s="13" t="s">
        <v>48</v>
      </c>
      <c r="W42" s="13" t="s">
        <v>678</v>
      </c>
      <c r="X42" s="25" t="s">
        <v>104</v>
      </c>
      <c r="Y42" s="13" t="n">
        <f aca="false">ROUND(IF(K42="",0,MIN(40,40*K42/1.5))+IF(S42="",0,IF(S42&lt;=7,20,IF(S42&lt;=30,12,IF(S42&lt;=90,5,0))))+IF(Q42="",0,MIN(15,Q42*5))+IF(O42="",0,MIN(15,O42*30))+IF(E42="Criador(a)",10,IF(E42="Especialista que cria conteúdo",6,4)),0)</f>
        <v>46</v>
      </c>
      <c r="Z42" s="13" t="s">
        <v>679</v>
      </c>
      <c r="AA42" s="13"/>
      <c r="AB42" s="13" t="s">
        <v>113</v>
      </c>
      <c r="AC42" s="13"/>
      <c r="AD42" s="13" t="s">
        <v>680</v>
      </c>
      <c r="AE42" s="13" t="s">
        <v>681</v>
      </c>
      <c r="AF42" s="13" t="s">
        <v>682</v>
      </c>
      <c r="AG42" s="24" t="s">
        <v>683</v>
      </c>
      <c r="AH42" s="13" t="s">
        <v>100</v>
      </c>
      <c r="AI42" s="13"/>
    </row>
    <row r="43" customFormat="false" ht="15" hidden="false" customHeight="false" outlineLevel="0" collapsed="false">
      <c r="A43" s="13" t="s">
        <v>36</v>
      </c>
      <c r="B43" s="13"/>
      <c r="C43" s="13" t="s">
        <v>684</v>
      </c>
      <c r="D43" s="13" t="s">
        <v>685</v>
      </c>
      <c r="E43" s="13" t="s">
        <v>200</v>
      </c>
      <c r="F43" s="13" t="s">
        <v>201</v>
      </c>
      <c r="G43" s="14" t="n">
        <v>20487</v>
      </c>
      <c r="H43" s="13" t="s">
        <v>19</v>
      </c>
      <c r="I43" s="15" t="n">
        <v>0.001</v>
      </c>
      <c r="J43" s="16" t="n">
        <f aca="false">IFERROR(INDEX('Como ler'!$B$20:$B$24,MATCH(H43,'Como ler'!$A$20:$A$24,0)),"")</f>
        <v>0.025</v>
      </c>
      <c r="K43" s="17" t="n">
        <f aca="false">IF(OR(I43="",J43=""),"",I43/J43)</f>
        <v>0.04</v>
      </c>
      <c r="L43" s="14" t="n">
        <v>22</v>
      </c>
      <c r="M43" s="18" t="n">
        <v>2.1</v>
      </c>
      <c r="N43" s="14" t="n">
        <v>305</v>
      </c>
      <c r="O43" s="17" t="n">
        <f aca="false">IF(OR(N43="",G43=0),"",N43/G43)</f>
        <v>0.0148874896275687</v>
      </c>
      <c r="P43" s="19" t="n">
        <v>0.56</v>
      </c>
      <c r="Q43" s="20" t="n">
        <v>4.7</v>
      </c>
      <c r="R43" s="21" t="n">
        <v>46292</v>
      </c>
      <c r="S43" s="22" t="n">
        <f aca="false">IF(R43="","",'Como ler'!$B$27-R43)</f>
        <v>0</v>
      </c>
      <c r="T43" s="13" t="n">
        <v>0</v>
      </c>
      <c r="U43" s="13"/>
      <c r="V43" s="13" t="s">
        <v>47</v>
      </c>
      <c r="W43" s="13" t="s">
        <v>686</v>
      </c>
      <c r="X43" s="25" t="s">
        <v>104</v>
      </c>
      <c r="Y43" s="13" t="n">
        <f aca="false">ROUND(IF(K43="",0,MIN(40,40*K43/1.5))+IF(S43="",0,IF(S43&lt;=7,20,IF(S43&lt;=30,12,IF(S43&lt;=90,5,0))))+IF(Q43="",0,MIN(15,Q43*5))+IF(O43="",0,MIN(15,O43*30))+IF(E43="Criador(a)",10,IF(E43="Especialista que cria conteúdo",6,4)),0)</f>
        <v>41</v>
      </c>
      <c r="Z43" s="13" t="s">
        <v>159</v>
      </c>
      <c r="AA43" s="13"/>
      <c r="AB43" s="13" t="s">
        <v>113</v>
      </c>
      <c r="AC43" s="13"/>
      <c r="AD43" s="13" t="s">
        <v>510</v>
      </c>
      <c r="AE43" s="13" t="s">
        <v>687</v>
      </c>
      <c r="AF43" s="13" t="s">
        <v>688</v>
      </c>
      <c r="AG43" s="24" t="s">
        <v>689</v>
      </c>
      <c r="AH43" s="13" t="s">
        <v>100</v>
      </c>
      <c r="AI43" s="13"/>
    </row>
    <row r="44" customFormat="false" ht="15" hidden="false" customHeight="false" outlineLevel="0" collapsed="false">
      <c r="A44" s="13" t="s">
        <v>36</v>
      </c>
      <c r="B44" s="13"/>
      <c r="C44" s="13" t="s">
        <v>690</v>
      </c>
      <c r="D44" s="13" t="s">
        <v>691</v>
      </c>
      <c r="E44" s="13" t="s">
        <v>30</v>
      </c>
      <c r="F44" s="13" t="s">
        <v>29</v>
      </c>
      <c r="G44" s="14" t="n">
        <v>19134</v>
      </c>
      <c r="H44" s="13" t="s">
        <v>19</v>
      </c>
      <c r="I44" s="15" t="n">
        <v>0.0013</v>
      </c>
      <c r="J44" s="16" t="n">
        <f aca="false">IFERROR(INDEX('Como ler'!$B$20:$B$24,MATCH(H44,'Como ler'!$A$20:$A$24,0)),"")</f>
        <v>0.025</v>
      </c>
      <c r="K44" s="17" t="n">
        <f aca="false">IF(OR(I44="",J44=""),"",I44/J44)</f>
        <v>0.052</v>
      </c>
      <c r="L44" s="14" t="n">
        <v>19</v>
      </c>
      <c r="M44" s="18" t="n">
        <v>7.9</v>
      </c>
      <c r="N44" s="14" t="n">
        <v>140</v>
      </c>
      <c r="O44" s="17" t="n">
        <f aca="false">IF(OR(N44="",G44=0),"",N44/G44)</f>
        <v>0.00731681822932999</v>
      </c>
      <c r="P44" s="19" t="n">
        <v>0.1</v>
      </c>
      <c r="Q44" s="20" t="n">
        <v>0.2</v>
      </c>
      <c r="R44" s="21" t="n">
        <v>46292</v>
      </c>
      <c r="S44" s="22" t="n">
        <f aca="false">IF(R44="","",'Como ler'!$B$27-R44)</f>
        <v>0</v>
      </c>
      <c r="T44" s="13" t="n">
        <v>0</v>
      </c>
      <c r="U44" s="13"/>
      <c r="V44" s="13" t="s">
        <v>46</v>
      </c>
      <c r="W44" s="13" t="s">
        <v>692</v>
      </c>
      <c r="X44" s="26" t="s">
        <v>129</v>
      </c>
      <c r="Y44" s="13" t="n">
        <f aca="false">ROUND(IF(K44="",0,MIN(40,40*K44/1.5))+IF(S44="",0,IF(S44&lt;=7,20,IF(S44&lt;=30,12,IF(S44&lt;=90,5,0))))+IF(Q44="",0,MIN(15,Q44*5))+IF(O44="",0,MIN(15,O44*30))+IF(E44="Criador(a)",10,IF(E44="Especialista que cria conteúdo",6,4)),0)</f>
        <v>33</v>
      </c>
      <c r="Z44" s="13" t="s">
        <v>105</v>
      </c>
      <c r="AA44" s="13"/>
      <c r="AB44" s="13"/>
      <c r="AC44" s="13"/>
      <c r="AD44" s="13" t="s">
        <v>693</v>
      </c>
      <c r="AE44" s="13" t="s">
        <v>694</v>
      </c>
      <c r="AF44" s="13"/>
      <c r="AG44" s="24" t="s">
        <v>695</v>
      </c>
      <c r="AH44" s="13" t="s">
        <v>100</v>
      </c>
      <c r="AI44" s="13"/>
    </row>
    <row r="45" customFormat="false" ht="15" hidden="false" customHeight="false" outlineLevel="0" collapsed="false">
      <c r="A45" s="13" t="s">
        <v>36</v>
      </c>
      <c r="B45" s="13"/>
      <c r="C45" s="13" t="s">
        <v>696</v>
      </c>
      <c r="D45" s="13" t="s">
        <v>697</v>
      </c>
      <c r="E45" s="13" t="s">
        <v>157</v>
      </c>
      <c r="F45" s="13" t="s">
        <v>29</v>
      </c>
      <c r="G45" s="14" t="n">
        <v>18373</v>
      </c>
      <c r="H45" s="13" t="s">
        <v>19</v>
      </c>
      <c r="I45" s="15" t="n">
        <v>0.0059</v>
      </c>
      <c r="J45" s="16" t="n">
        <f aca="false">IFERROR(INDEX('Como ler'!$B$20:$B$24,MATCH(H45,'Como ler'!$A$20:$A$24,0)),"")</f>
        <v>0.025</v>
      </c>
      <c r="K45" s="17" t="n">
        <f aca="false">IF(OR(I45="",J45=""),"",I45/J45)</f>
        <v>0.236</v>
      </c>
      <c r="L45" s="14" t="n">
        <v>98</v>
      </c>
      <c r="M45" s="18" t="n">
        <v>16.1</v>
      </c>
      <c r="N45" s="14" t="n">
        <v>893</v>
      </c>
      <c r="O45" s="17" t="n">
        <f aca="false">IF(OR(N45="",G45=0),"",N45/G45)</f>
        <v>0.0486039296794209</v>
      </c>
      <c r="P45" s="19" t="n">
        <v>0.1</v>
      </c>
      <c r="Q45" s="20" t="n">
        <v>0.2</v>
      </c>
      <c r="R45" s="21" t="n">
        <v>46290</v>
      </c>
      <c r="S45" s="22" t="n">
        <f aca="false">IF(R45="","",'Como ler'!$B$27-R45)</f>
        <v>2</v>
      </c>
      <c r="T45" s="13" t="n">
        <v>0</v>
      </c>
      <c r="U45" s="13"/>
      <c r="V45" s="13" t="s">
        <v>43</v>
      </c>
      <c r="W45" s="13" t="s">
        <v>698</v>
      </c>
      <c r="X45" s="26" t="s">
        <v>129</v>
      </c>
      <c r="Y45" s="13" t="n">
        <f aca="false">ROUND(IF(K45="",0,MIN(40,40*K45/1.5))+IF(S45="",0,IF(S45&lt;=7,20,IF(S45&lt;=30,12,IF(S45&lt;=90,5,0))))+IF(Q45="",0,MIN(15,Q45*5))+IF(O45="",0,MIN(15,O45*30))+IF(E45="Criador(a)",10,IF(E45="Especialista que cria conteúdo",6,4)),0)</f>
        <v>35</v>
      </c>
      <c r="Z45" s="13"/>
      <c r="AA45" s="13"/>
      <c r="AB45" s="13" t="s">
        <v>113</v>
      </c>
      <c r="AC45" s="13"/>
      <c r="AD45" s="13" t="s">
        <v>523</v>
      </c>
      <c r="AE45" s="13" t="s">
        <v>699</v>
      </c>
      <c r="AF45" s="13" t="s">
        <v>700</v>
      </c>
      <c r="AG45" s="24" t="s">
        <v>701</v>
      </c>
      <c r="AH45" s="13" t="s">
        <v>100</v>
      </c>
      <c r="AI45" s="13"/>
    </row>
    <row r="46" customFormat="false" ht="15" hidden="false" customHeight="false" outlineLevel="0" collapsed="false">
      <c r="A46" s="13" t="s">
        <v>36</v>
      </c>
      <c r="B46" s="13"/>
      <c r="C46" s="13" t="s">
        <v>702</v>
      </c>
      <c r="D46" s="13" t="s">
        <v>703</v>
      </c>
      <c r="E46" s="13" t="s">
        <v>157</v>
      </c>
      <c r="F46" s="13" t="s">
        <v>29</v>
      </c>
      <c r="G46" s="14" t="n">
        <v>16144</v>
      </c>
      <c r="H46" s="13" t="s">
        <v>19</v>
      </c>
      <c r="I46" s="15" t="n">
        <v>0.0022</v>
      </c>
      <c r="J46" s="16" t="n">
        <f aca="false">IFERROR(INDEX('Como ler'!$B$20:$B$24,MATCH(H46,'Como ler'!$A$20:$A$24,0)),"")</f>
        <v>0.025</v>
      </c>
      <c r="K46" s="17" t="n">
        <f aca="false">IF(OR(I46="",J46=""),"",I46/J46)</f>
        <v>0.088</v>
      </c>
      <c r="L46" s="14" t="n">
        <v>27</v>
      </c>
      <c r="M46" s="18" t="n">
        <v>4.7</v>
      </c>
      <c r="N46" s="14" t="n">
        <v>273</v>
      </c>
      <c r="O46" s="17" t="n">
        <f aca="false">IF(OR(N46="",G46=0),"",N46/G46)</f>
        <v>0.016910307234886</v>
      </c>
      <c r="P46" s="19" t="n">
        <v>0.67</v>
      </c>
      <c r="Q46" s="20" t="n">
        <v>0.5</v>
      </c>
      <c r="R46" s="21" t="n">
        <v>46254</v>
      </c>
      <c r="S46" s="22" t="n">
        <f aca="false">IF(R46="","",'Como ler'!$B$27-R46)</f>
        <v>38</v>
      </c>
      <c r="T46" s="13" t="n">
        <v>0</v>
      </c>
      <c r="U46" s="13"/>
      <c r="V46" s="13" t="s">
        <v>45</v>
      </c>
      <c r="W46" s="13" t="s">
        <v>45</v>
      </c>
      <c r="X46" s="25" t="s">
        <v>104</v>
      </c>
      <c r="Y46" s="13" t="n">
        <f aca="false">ROUND(IF(K46="",0,MIN(40,40*K46/1.5))+IF(S46="",0,IF(S46&lt;=7,20,IF(S46&lt;=30,12,IF(S46&lt;=90,5,0))))+IF(Q46="",0,MIN(15,Q46*5))+IF(O46="",0,MIN(15,O46*30))+IF(E46="Criador(a)",10,IF(E46="Especialista que cria conteúdo",6,4)),0)</f>
        <v>16</v>
      </c>
      <c r="Z46" s="13"/>
      <c r="AA46" s="13"/>
      <c r="AB46" s="13"/>
      <c r="AC46" s="13"/>
      <c r="AD46" s="13" t="s">
        <v>578</v>
      </c>
      <c r="AE46" s="13" t="s">
        <v>704</v>
      </c>
      <c r="AF46" s="13" t="s">
        <v>705</v>
      </c>
      <c r="AG46" s="24" t="s">
        <v>706</v>
      </c>
      <c r="AH46" s="13" t="s">
        <v>100</v>
      </c>
      <c r="AI46" s="13"/>
    </row>
    <row r="47" customFormat="false" ht="15" hidden="false" customHeight="false" outlineLevel="0" collapsed="false">
      <c r="A47" s="13" t="s">
        <v>36</v>
      </c>
      <c r="B47" s="13"/>
      <c r="C47" s="13" t="s">
        <v>707</v>
      </c>
      <c r="D47" s="13" t="s">
        <v>708</v>
      </c>
      <c r="E47" s="13" t="s">
        <v>157</v>
      </c>
      <c r="F47" s="13" t="s">
        <v>28</v>
      </c>
      <c r="G47" s="14" t="n">
        <v>16024</v>
      </c>
      <c r="H47" s="13" t="s">
        <v>19</v>
      </c>
      <c r="I47" s="15" t="n">
        <v>0.0107</v>
      </c>
      <c r="J47" s="16" t="n">
        <f aca="false">IFERROR(INDEX('Como ler'!$B$20:$B$24,MATCH(H47,'Como ler'!$A$20:$A$24,0)),"")</f>
        <v>0.025</v>
      </c>
      <c r="K47" s="17" t="n">
        <f aca="false">IF(OR(I47="",J47=""),"",I47/J47)</f>
        <v>0.428</v>
      </c>
      <c r="L47" s="14" t="n">
        <v>250</v>
      </c>
      <c r="M47" s="18" t="n">
        <v>35.4</v>
      </c>
      <c r="N47" s="14" t="n">
        <v>2898</v>
      </c>
      <c r="O47" s="17" t="n">
        <f aca="false">IF(OR(N47="",G47=0),"",N47/G47)</f>
        <v>0.180853719420869</v>
      </c>
      <c r="P47" s="19" t="n">
        <v>0.78</v>
      </c>
      <c r="Q47" s="20" t="n">
        <v>1.5</v>
      </c>
      <c r="R47" s="21" t="n">
        <v>46288</v>
      </c>
      <c r="S47" s="22" t="n">
        <f aca="false">IF(R47="","",'Como ler'!$B$27-R47)</f>
        <v>4</v>
      </c>
      <c r="T47" s="13" t="n">
        <v>0</v>
      </c>
      <c r="U47" s="13"/>
      <c r="V47" s="13" t="s">
        <v>44</v>
      </c>
      <c r="W47" s="13" t="s">
        <v>44</v>
      </c>
      <c r="X47" s="26" t="s">
        <v>129</v>
      </c>
      <c r="Y47" s="13" t="n">
        <f aca="false">ROUND(IF(K47="",0,MIN(40,40*K47/1.5))+IF(S47="",0,IF(S47&lt;=7,20,IF(S47&lt;=30,12,IF(S47&lt;=90,5,0))))+IF(Q47="",0,MIN(15,Q47*5))+IF(O47="",0,MIN(15,O47*30))+IF(E47="Criador(a)",10,IF(E47="Especialista que cria conteúdo",6,4)),0)</f>
        <v>50</v>
      </c>
      <c r="Z47" s="13" t="s">
        <v>95</v>
      </c>
      <c r="AA47" s="13"/>
      <c r="AB47" s="13" t="s">
        <v>113</v>
      </c>
      <c r="AC47" s="13"/>
      <c r="AD47" s="13" t="s">
        <v>523</v>
      </c>
      <c r="AE47" s="13" t="s">
        <v>709</v>
      </c>
      <c r="AF47" s="13" t="s">
        <v>710</v>
      </c>
      <c r="AG47" s="24" t="s">
        <v>711</v>
      </c>
      <c r="AH47" s="13" t="s">
        <v>100</v>
      </c>
      <c r="AI47" s="13"/>
    </row>
    <row r="48" customFormat="false" ht="15" hidden="false" customHeight="false" outlineLevel="0" collapsed="false">
      <c r="A48" s="13" t="s">
        <v>36</v>
      </c>
      <c r="B48" s="13"/>
      <c r="C48" s="13" t="s">
        <v>712</v>
      </c>
      <c r="D48" s="13" t="s">
        <v>713</v>
      </c>
      <c r="E48" s="13" t="s">
        <v>30</v>
      </c>
      <c r="F48" s="13" t="s">
        <v>28</v>
      </c>
      <c r="G48" s="14" t="n">
        <v>14144</v>
      </c>
      <c r="H48" s="13" t="s">
        <v>19</v>
      </c>
      <c r="I48" s="15" t="n">
        <v>0.0008</v>
      </c>
      <c r="J48" s="16" t="n">
        <f aca="false">IFERROR(INDEX('Como ler'!$B$20:$B$24,MATCH(H48,'Como ler'!$A$20:$A$24,0)),"")</f>
        <v>0.025</v>
      </c>
      <c r="K48" s="17" t="n">
        <f aca="false">IF(OR(I48="",J48=""),"",I48/J48)</f>
        <v>0.032</v>
      </c>
      <c r="L48" s="14" t="n">
        <v>14</v>
      </c>
      <c r="M48" s="18" t="n">
        <v>1.7</v>
      </c>
      <c r="N48" s="14" t="n">
        <v>168</v>
      </c>
      <c r="O48" s="17" t="n">
        <f aca="false">IF(OR(N48="",G48=0),"",N48/G48)</f>
        <v>0.0118778280542986</v>
      </c>
      <c r="P48" s="19" t="n">
        <v>1</v>
      </c>
      <c r="Q48" s="20" t="n">
        <v>1.2</v>
      </c>
      <c r="R48" s="21" t="n">
        <v>46292</v>
      </c>
      <c r="S48" s="22" t="n">
        <f aca="false">IF(R48="","",'Como ler'!$B$27-R48)</f>
        <v>0</v>
      </c>
      <c r="T48" s="13" t="n">
        <v>0</v>
      </c>
      <c r="U48" s="13"/>
      <c r="V48" s="13" t="s">
        <v>55</v>
      </c>
      <c r="W48" s="13" t="s">
        <v>714</v>
      </c>
      <c r="X48" s="26" t="s">
        <v>129</v>
      </c>
      <c r="Y48" s="13" t="n">
        <f aca="false">ROUND(IF(K48="",0,MIN(40,40*K48/1.5))+IF(S48="",0,IF(S48&lt;=7,20,IF(S48&lt;=30,12,IF(S48&lt;=90,5,0))))+IF(Q48="",0,MIN(15,Q48*5))+IF(O48="",0,MIN(15,O48*30))+IF(E48="Criador(a)",10,IF(E48="Especialista que cria conteúdo",6,4)),0)</f>
        <v>37</v>
      </c>
      <c r="Z48" s="13"/>
      <c r="AA48" s="13"/>
      <c r="AB48" s="13" t="s">
        <v>113</v>
      </c>
      <c r="AC48" s="13" t="s">
        <v>114</v>
      </c>
      <c r="AD48" s="13" t="s">
        <v>641</v>
      </c>
      <c r="AE48" s="13" t="s">
        <v>715</v>
      </c>
      <c r="AF48" s="13" t="s">
        <v>716</v>
      </c>
      <c r="AG48" s="24" t="s">
        <v>717</v>
      </c>
      <c r="AH48" s="13" t="s">
        <v>100</v>
      </c>
      <c r="AI48" s="13"/>
    </row>
    <row r="49" customFormat="false" ht="15" hidden="false" customHeight="false" outlineLevel="0" collapsed="false">
      <c r="A49" s="13" t="s">
        <v>36</v>
      </c>
      <c r="B49" s="13"/>
      <c r="C49" s="13" t="s">
        <v>718</v>
      </c>
      <c r="D49" s="13" t="s">
        <v>719</v>
      </c>
      <c r="E49" s="13" t="s">
        <v>157</v>
      </c>
      <c r="F49" s="13" t="s">
        <v>28</v>
      </c>
      <c r="G49" s="14" t="n">
        <v>12333</v>
      </c>
      <c r="H49" s="13" t="s">
        <v>19</v>
      </c>
      <c r="I49" s="15" t="n">
        <v>0.004</v>
      </c>
      <c r="J49" s="16" t="n">
        <f aca="false">IFERROR(INDEX('Como ler'!$B$20:$B$24,MATCH(H49,'Como ler'!$A$20:$A$24,0)),"")</f>
        <v>0.025</v>
      </c>
      <c r="K49" s="17" t="n">
        <f aca="false">IF(OR(I49="",J49=""),"",I49/J49)</f>
        <v>0.16</v>
      </c>
      <c r="L49" s="14" t="n">
        <v>57</v>
      </c>
      <c r="M49" s="18" t="n">
        <v>5</v>
      </c>
      <c r="N49" s="14" t="n">
        <v>307</v>
      </c>
      <c r="O49" s="17" t="n">
        <f aca="false">IF(OR(N49="",G49=0),"",N49/G49)</f>
        <v>0.0248925646639098</v>
      </c>
      <c r="P49" s="19" t="n">
        <v>0.67</v>
      </c>
      <c r="Q49" s="20" t="n">
        <v>4.7</v>
      </c>
      <c r="R49" s="21" t="n">
        <v>46280</v>
      </c>
      <c r="S49" s="22" t="n">
        <f aca="false">IF(R49="","",'Como ler'!$B$27-R49)</f>
        <v>12</v>
      </c>
      <c r="T49" s="13" t="n">
        <v>0</v>
      </c>
      <c r="U49" s="13"/>
      <c r="V49" s="13" t="s">
        <v>52</v>
      </c>
      <c r="W49" s="13" t="s">
        <v>596</v>
      </c>
      <c r="X49" s="23" t="s">
        <v>94</v>
      </c>
      <c r="Y49" s="13" t="n">
        <f aca="false">ROUND(IF(K49="",0,MIN(40,40*K49/1.5))+IF(S49="",0,IF(S49&lt;=7,20,IF(S49&lt;=30,12,IF(S49&lt;=90,5,0))))+IF(Q49="",0,MIN(15,Q49*5))+IF(O49="",0,MIN(15,O49*30))+IF(E49="Criador(a)",10,IF(E49="Especialista que cria conteúdo",6,4)),0)</f>
        <v>38</v>
      </c>
      <c r="Z49" s="13"/>
      <c r="AA49" s="13" t="s">
        <v>113</v>
      </c>
      <c r="AB49" s="13" t="s">
        <v>113</v>
      </c>
      <c r="AC49" s="13"/>
      <c r="AD49" s="13" t="s">
        <v>720</v>
      </c>
      <c r="AE49" s="13" t="s">
        <v>721</v>
      </c>
      <c r="AF49" s="13" t="s">
        <v>722</v>
      </c>
      <c r="AG49" s="24" t="s">
        <v>723</v>
      </c>
      <c r="AH49" s="13" t="s">
        <v>100</v>
      </c>
      <c r="AI49" s="13"/>
    </row>
    <row r="50" customFormat="false" ht="15" hidden="false" customHeight="false" outlineLevel="0" collapsed="false">
      <c r="A50" s="13" t="s">
        <v>36</v>
      </c>
      <c r="B50" s="13"/>
      <c r="C50" s="13" t="s">
        <v>724</v>
      </c>
      <c r="D50" s="13" t="s">
        <v>725</v>
      </c>
      <c r="E50" s="13" t="s">
        <v>157</v>
      </c>
      <c r="F50" s="13" t="s">
        <v>29</v>
      </c>
      <c r="G50" s="14" t="n">
        <v>12154</v>
      </c>
      <c r="H50" s="13" t="s">
        <v>19</v>
      </c>
      <c r="I50" s="15" t="n">
        <v>0.0035</v>
      </c>
      <c r="J50" s="16" t="n">
        <f aca="false">IFERROR(INDEX('Como ler'!$B$20:$B$24,MATCH(H50,'Como ler'!$A$20:$A$24,0)),"")</f>
        <v>0.025</v>
      </c>
      <c r="K50" s="17" t="n">
        <f aca="false">IF(OR(I50="",J50=""),"",I50/J50)</f>
        <v>0.14</v>
      </c>
      <c r="L50" s="14" t="n">
        <v>65</v>
      </c>
      <c r="M50" s="18" t="n">
        <v>0.8</v>
      </c>
      <c r="N50" s="14" t="n">
        <v>510</v>
      </c>
      <c r="O50" s="17" t="n">
        <f aca="false">IF(OR(N50="",G50=0),"",N50/G50)</f>
        <v>0.0419614941583018</v>
      </c>
      <c r="P50" s="19" t="n">
        <v>0.67</v>
      </c>
      <c r="Q50" s="20" t="n">
        <v>0.1</v>
      </c>
      <c r="R50" s="21" t="n">
        <v>46218</v>
      </c>
      <c r="S50" s="22" t="n">
        <f aca="false">IF(R50="","",'Como ler'!$B$27-R50)</f>
        <v>74</v>
      </c>
      <c r="T50" s="13" t="n">
        <v>0</v>
      </c>
      <c r="U50" s="13"/>
      <c r="V50" s="13" t="s">
        <v>45</v>
      </c>
      <c r="W50" s="13" t="s">
        <v>726</v>
      </c>
      <c r="X50" s="26" t="s">
        <v>129</v>
      </c>
      <c r="Y50" s="13" t="n">
        <f aca="false">ROUND(IF(K50="",0,MIN(40,40*K50/1.5))+IF(S50="",0,IF(S50&lt;=7,20,IF(S50&lt;=30,12,IF(S50&lt;=90,5,0))))+IF(Q50="",0,MIN(15,Q50*5))+IF(O50="",0,MIN(15,O50*30))+IF(E50="Criador(a)",10,IF(E50="Especialista que cria conteúdo",6,4)),0)</f>
        <v>16</v>
      </c>
      <c r="Z50" s="13"/>
      <c r="AA50" s="13"/>
      <c r="AB50" s="13" t="s">
        <v>113</v>
      </c>
      <c r="AC50" s="13"/>
      <c r="AD50" s="13" t="s">
        <v>523</v>
      </c>
      <c r="AE50" s="13" t="s">
        <v>727</v>
      </c>
      <c r="AF50" s="13" t="s">
        <v>728</v>
      </c>
      <c r="AG50" s="24" t="s">
        <v>729</v>
      </c>
      <c r="AH50" s="13" t="s">
        <v>100</v>
      </c>
      <c r="AI50" s="13"/>
    </row>
    <row r="51" customFormat="false" ht="15" hidden="false" customHeight="false" outlineLevel="0" collapsed="false">
      <c r="A51" s="13" t="s">
        <v>36</v>
      </c>
      <c r="B51" s="13"/>
      <c r="C51" s="13" t="s">
        <v>730</v>
      </c>
      <c r="D51" s="13" t="s">
        <v>731</v>
      </c>
      <c r="E51" s="13" t="s">
        <v>157</v>
      </c>
      <c r="F51" s="13" t="s">
        <v>28</v>
      </c>
      <c r="G51" s="14" t="n">
        <v>11685</v>
      </c>
      <c r="H51" s="13" t="s">
        <v>19</v>
      </c>
      <c r="I51" s="15" t="n">
        <v>0.005</v>
      </c>
      <c r="J51" s="16" t="n">
        <f aca="false">IFERROR(INDEX('Como ler'!$B$20:$B$24,MATCH(H51,'Como ler'!$A$20:$A$24,0)),"")</f>
        <v>0.025</v>
      </c>
      <c r="K51" s="17" t="n">
        <f aca="false">IF(OR(I51="",J51=""),"",I51/J51)</f>
        <v>0.2</v>
      </c>
      <c r="L51" s="14" t="n">
        <v>42</v>
      </c>
      <c r="M51" s="18" t="n">
        <v>14.2</v>
      </c>
      <c r="N51" s="14" t="n">
        <v>334</v>
      </c>
      <c r="O51" s="17" t="n">
        <f aca="false">IF(OR(N51="",G51=0),"",N51/G51)</f>
        <v>0.0285836542575952</v>
      </c>
      <c r="P51" s="19" t="n">
        <v>0.11</v>
      </c>
      <c r="Q51" s="20" t="n">
        <v>4.3</v>
      </c>
      <c r="R51" s="21" t="n">
        <v>46292</v>
      </c>
      <c r="S51" s="22" t="n">
        <f aca="false">IF(R51="","",'Como ler'!$B$27-R51)</f>
        <v>0</v>
      </c>
      <c r="T51" s="13" t="n">
        <v>0</v>
      </c>
      <c r="U51" s="13"/>
      <c r="V51" s="13"/>
      <c r="W51" s="13"/>
      <c r="X51" s="25" t="s">
        <v>104</v>
      </c>
      <c r="Y51" s="13" t="n">
        <f aca="false">ROUND(IF(K51="",0,MIN(40,40*K51/1.5))+IF(S51="",0,IF(S51&lt;=7,20,IF(S51&lt;=30,12,IF(S51&lt;=90,5,0))))+IF(Q51="",0,MIN(15,Q51*5))+IF(O51="",0,MIN(15,O51*30))+IF(E51="Criador(a)",10,IF(E51="Especialista que cria conteúdo",6,4)),0)</f>
        <v>47</v>
      </c>
      <c r="Z51" s="13" t="s">
        <v>105</v>
      </c>
      <c r="AA51" s="13" t="s">
        <v>113</v>
      </c>
      <c r="AB51" s="13" t="s">
        <v>113</v>
      </c>
      <c r="AC51" s="13"/>
      <c r="AD51" s="13" t="s">
        <v>565</v>
      </c>
      <c r="AE51" s="13" t="s">
        <v>732</v>
      </c>
      <c r="AF51" s="13" t="s">
        <v>733</v>
      </c>
      <c r="AG51" s="24" t="s">
        <v>734</v>
      </c>
      <c r="AH51" s="13" t="s">
        <v>100</v>
      </c>
      <c r="AI51" s="13"/>
    </row>
    <row r="52" customFormat="false" ht="15" hidden="false" customHeight="false" outlineLevel="0" collapsed="false">
      <c r="A52" s="13" t="s">
        <v>36</v>
      </c>
      <c r="B52" s="13"/>
      <c r="C52" s="13" t="s">
        <v>735</v>
      </c>
      <c r="D52" s="13" t="s">
        <v>736</v>
      </c>
      <c r="E52" s="13" t="s">
        <v>157</v>
      </c>
      <c r="F52" s="13" t="s">
        <v>29</v>
      </c>
      <c r="G52" s="14" t="n">
        <v>10651</v>
      </c>
      <c r="H52" s="13" t="s">
        <v>19</v>
      </c>
      <c r="I52" s="15" t="n">
        <v>0.0039</v>
      </c>
      <c r="J52" s="16" t="n">
        <f aca="false">IFERROR(INDEX('Como ler'!$B$20:$B$24,MATCH(H52,'Como ler'!$A$20:$A$24,0)),"")</f>
        <v>0.025</v>
      </c>
      <c r="K52" s="17" t="n">
        <f aca="false">IF(OR(I52="",J52=""),"",I52/J52)</f>
        <v>0.156</v>
      </c>
      <c r="L52" s="14" t="n">
        <v>57</v>
      </c>
      <c r="M52" s="18" t="n">
        <v>5.4</v>
      </c>
      <c r="N52" s="14" t="n">
        <v>4049</v>
      </c>
      <c r="O52" s="17" t="n">
        <f aca="false">IF(OR(N52="",G52=0),"",N52/G52)</f>
        <v>0.380152098394517</v>
      </c>
      <c r="P52" s="19" t="n">
        <v>0.67</v>
      </c>
      <c r="Q52" s="20" t="n">
        <v>0.2</v>
      </c>
      <c r="R52" s="21" t="n">
        <v>46289</v>
      </c>
      <c r="S52" s="22" t="n">
        <f aca="false">IF(R52="","",'Como ler'!$B$27-R52)</f>
        <v>3</v>
      </c>
      <c r="T52" s="13" t="n">
        <v>0</v>
      </c>
      <c r="U52" s="13"/>
      <c r="V52" s="13" t="s">
        <v>45</v>
      </c>
      <c r="W52" s="13" t="s">
        <v>45</v>
      </c>
      <c r="X52" s="25" t="s">
        <v>104</v>
      </c>
      <c r="Y52" s="13" t="n">
        <f aca="false">ROUND(IF(K52="",0,MIN(40,40*K52/1.5))+IF(S52="",0,IF(S52&lt;=7,20,IF(S52&lt;=30,12,IF(S52&lt;=90,5,0))))+IF(Q52="",0,MIN(15,Q52*5))+IF(O52="",0,MIN(15,O52*30))+IF(E52="Criador(a)",10,IF(E52="Especialista que cria conteúdo",6,4)),0)</f>
        <v>43</v>
      </c>
      <c r="Z52" s="13" t="s">
        <v>95</v>
      </c>
      <c r="AA52" s="13"/>
      <c r="AB52" s="13" t="s">
        <v>113</v>
      </c>
      <c r="AC52" s="13"/>
      <c r="AD52" s="13" t="s">
        <v>737</v>
      </c>
      <c r="AE52" s="13" t="s">
        <v>738</v>
      </c>
      <c r="AF52" s="13" t="s">
        <v>739</v>
      </c>
      <c r="AG52" s="24" t="s">
        <v>740</v>
      </c>
      <c r="AH52" s="13" t="s">
        <v>100</v>
      </c>
      <c r="AI52" s="13"/>
    </row>
    <row r="53" customFormat="false" ht="15" hidden="false" customHeight="false" outlineLevel="0" collapsed="false">
      <c r="A53" s="13" t="s">
        <v>36</v>
      </c>
      <c r="B53" s="13"/>
      <c r="C53" s="13" t="s">
        <v>741</v>
      </c>
      <c r="D53" s="13" t="s">
        <v>742</v>
      </c>
      <c r="E53" s="13" t="s">
        <v>30</v>
      </c>
      <c r="F53" s="13" t="s">
        <v>28</v>
      </c>
      <c r="G53" s="14" t="n">
        <v>9774</v>
      </c>
      <c r="H53" s="13" t="s">
        <v>19</v>
      </c>
      <c r="I53" s="15" t="n">
        <v>0.0047</v>
      </c>
      <c r="J53" s="16" t="n">
        <f aca="false">IFERROR(INDEX('Como ler'!$B$20:$B$24,MATCH(H53,'Como ler'!$A$20:$A$24,0)),"")</f>
        <v>0.025</v>
      </c>
      <c r="K53" s="17" t="n">
        <f aca="false">IF(OR(I53="",J53=""),"",I53/J53)</f>
        <v>0.188</v>
      </c>
      <c r="L53" s="14" t="n">
        <v>46</v>
      </c>
      <c r="M53" s="18" t="n">
        <v>10.1</v>
      </c>
      <c r="N53" s="14" t="n">
        <v>368</v>
      </c>
      <c r="O53" s="17" t="n">
        <f aca="false">IF(OR(N53="",G53=0),"",N53/G53)</f>
        <v>0.0376509105790874</v>
      </c>
      <c r="P53" s="19" t="n">
        <v>0.33</v>
      </c>
      <c r="Q53" s="20" t="n">
        <v>0.1</v>
      </c>
      <c r="R53" s="21" t="n">
        <v>46236</v>
      </c>
      <c r="S53" s="22" t="n">
        <f aca="false">IF(R53="","",'Como ler'!$B$27-R53)</f>
        <v>56</v>
      </c>
      <c r="T53" s="13" t="n">
        <v>0</v>
      </c>
      <c r="U53" s="13"/>
      <c r="V53" s="13" t="s">
        <v>53</v>
      </c>
      <c r="W53" s="13" t="s">
        <v>743</v>
      </c>
      <c r="X53" s="26" t="s">
        <v>129</v>
      </c>
      <c r="Y53" s="13" t="n">
        <f aca="false">ROUND(IF(K53="",0,MIN(40,40*K53/1.5))+IF(S53="",0,IF(S53&lt;=7,20,IF(S53&lt;=30,12,IF(S53&lt;=90,5,0))))+IF(Q53="",0,MIN(15,Q53*5))+IF(O53="",0,MIN(15,O53*30))+IF(E53="Criador(a)",10,IF(E53="Especialista que cria conteúdo",6,4)),0)</f>
        <v>22</v>
      </c>
      <c r="Z53" s="13" t="s">
        <v>105</v>
      </c>
      <c r="AA53" s="13"/>
      <c r="AB53" s="13" t="s">
        <v>113</v>
      </c>
      <c r="AC53" s="13"/>
      <c r="AD53" s="13" t="s">
        <v>720</v>
      </c>
      <c r="AE53" s="13" t="s">
        <v>744</v>
      </c>
      <c r="AF53" s="13" t="s">
        <v>745</v>
      </c>
      <c r="AG53" s="24" t="s">
        <v>746</v>
      </c>
      <c r="AH53" s="13" t="s">
        <v>100</v>
      </c>
      <c r="AI53" s="13"/>
    </row>
    <row r="54" customFormat="false" ht="15" hidden="false" customHeight="false" outlineLevel="0" collapsed="false">
      <c r="A54" s="13" t="s">
        <v>36</v>
      </c>
      <c r="B54" s="13" t="s">
        <v>38</v>
      </c>
      <c r="C54" s="13" t="s">
        <v>747</v>
      </c>
      <c r="D54" s="13" t="s">
        <v>748</v>
      </c>
      <c r="E54" s="13" t="s">
        <v>30</v>
      </c>
      <c r="F54" s="13" t="s">
        <v>29</v>
      </c>
      <c r="G54" s="14" t="n">
        <v>8065</v>
      </c>
      <c r="H54" s="13" t="s">
        <v>19</v>
      </c>
      <c r="I54" s="15" t="n">
        <v>0.0161</v>
      </c>
      <c r="J54" s="16" t="n">
        <f aca="false">IFERROR(INDEX('Como ler'!$B$20:$B$24,MATCH(H54,'Como ler'!$A$20:$A$24,0)),"")</f>
        <v>0.025</v>
      </c>
      <c r="K54" s="17" t="n">
        <f aca="false">IF(OR(I54="",J54=""),"",I54/J54)</f>
        <v>0.644</v>
      </c>
      <c r="L54" s="14" t="n">
        <v>102</v>
      </c>
      <c r="M54" s="18" t="n">
        <v>25.8</v>
      </c>
      <c r="N54" s="14" t="n">
        <v>844</v>
      </c>
      <c r="O54" s="17" t="n">
        <f aca="false">IF(OR(N54="",G54=0),"",N54/G54)</f>
        <v>0.104649721016739</v>
      </c>
      <c r="P54" s="19" t="n">
        <v>0.58</v>
      </c>
      <c r="Q54" s="20" t="n">
        <v>0.8</v>
      </c>
      <c r="R54" s="21" t="n">
        <v>46283</v>
      </c>
      <c r="S54" s="22" t="n">
        <f aca="false">IF(R54="","",'Como ler'!$B$27-R54)</f>
        <v>9</v>
      </c>
      <c r="T54" s="13" t="n">
        <v>0</v>
      </c>
      <c r="U54" s="13"/>
      <c r="V54" s="13" t="s">
        <v>45</v>
      </c>
      <c r="W54" s="13" t="s">
        <v>749</v>
      </c>
      <c r="X54" s="23" t="s">
        <v>94</v>
      </c>
      <c r="Y54" s="13" t="n">
        <f aca="false">ROUND(IF(K54="",0,MIN(40,40*K54/1.5))+IF(S54="",0,IF(S54&lt;=7,20,IF(S54&lt;=30,12,IF(S54&lt;=90,5,0))))+IF(Q54="",0,MIN(15,Q54*5))+IF(O54="",0,MIN(15,O54*30))+IF(E54="Criador(a)",10,IF(E54="Especialista que cria conteúdo",6,4)),0)</f>
        <v>46</v>
      </c>
      <c r="Z54" s="13" t="s">
        <v>355</v>
      </c>
      <c r="AA54" s="13"/>
      <c r="AB54" s="13"/>
      <c r="AC54" s="13"/>
      <c r="AD54" s="13" t="s">
        <v>750</v>
      </c>
      <c r="AE54" s="13" t="s">
        <v>751</v>
      </c>
      <c r="AF54" s="13" t="s">
        <v>752</v>
      </c>
      <c r="AG54" s="24" t="s">
        <v>753</v>
      </c>
      <c r="AH54" s="13" t="s">
        <v>100</v>
      </c>
      <c r="AI54" s="13"/>
    </row>
    <row r="55" customFormat="false" ht="15" hidden="false" customHeight="false" outlineLevel="0" collapsed="false">
      <c r="A55" s="13" t="s">
        <v>36</v>
      </c>
      <c r="B55" s="13"/>
      <c r="C55" s="13" t="s">
        <v>754</v>
      </c>
      <c r="D55" s="13" t="s">
        <v>755</v>
      </c>
      <c r="E55" s="13" t="s">
        <v>157</v>
      </c>
      <c r="F55" s="13" t="s">
        <v>28</v>
      </c>
      <c r="G55" s="14" t="n">
        <v>7768</v>
      </c>
      <c r="H55" s="13" t="s">
        <v>19</v>
      </c>
      <c r="I55" s="15" t="n">
        <v>0.0035</v>
      </c>
      <c r="J55" s="16" t="n">
        <f aca="false">IFERROR(INDEX('Como ler'!$B$20:$B$24,MATCH(H55,'Como ler'!$A$20:$A$24,0)),"")</f>
        <v>0.025</v>
      </c>
      <c r="K55" s="17" t="n">
        <f aca="false">IF(OR(I55="",J55=""),"",I55/J55)</f>
        <v>0.14</v>
      </c>
      <c r="L55" s="14" t="n">
        <v>58</v>
      </c>
      <c r="M55" s="18" t="n">
        <v>14.4</v>
      </c>
      <c r="N55" s="14" t="n">
        <v>291</v>
      </c>
      <c r="O55" s="17" t="n">
        <f aca="false">IF(OR(N55="",G55=0),"",N55/G55)</f>
        <v>0.0374613800205973</v>
      </c>
      <c r="P55" s="19" t="n">
        <v>0.55</v>
      </c>
      <c r="Q55" s="20" t="n">
        <v>0.1</v>
      </c>
      <c r="R55" s="21" t="n">
        <v>46290</v>
      </c>
      <c r="S55" s="22" t="n">
        <f aca="false">IF(R55="","",'Como ler'!$B$27-R55)</f>
        <v>2</v>
      </c>
      <c r="T55" s="13" t="n">
        <v>0</v>
      </c>
      <c r="U55" s="13"/>
      <c r="V55" s="13" t="s">
        <v>50</v>
      </c>
      <c r="W55" s="13" t="s">
        <v>589</v>
      </c>
      <c r="X55" s="23" t="s">
        <v>94</v>
      </c>
      <c r="Y55" s="13" t="n">
        <f aca="false">ROUND(IF(K55="",0,MIN(40,40*K55/1.5))+IF(S55="",0,IF(S55&lt;=7,20,IF(S55&lt;=30,12,IF(S55&lt;=90,5,0))))+IF(Q55="",0,MIN(15,Q55*5))+IF(O55="",0,MIN(15,O55*30))+IF(E55="Criador(a)",10,IF(E55="Especialista que cria conteúdo",6,4)),0)</f>
        <v>31</v>
      </c>
      <c r="Z55" s="13"/>
      <c r="AA55" s="13" t="s">
        <v>113</v>
      </c>
      <c r="AB55" s="13" t="s">
        <v>113</v>
      </c>
      <c r="AC55" s="13"/>
      <c r="AD55" s="13" t="s">
        <v>493</v>
      </c>
      <c r="AE55" s="13"/>
      <c r="AF55" s="13" t="s">
        <v>756</v>
      </c>
      <c r="AG55" s="24" t="s">
        <v>757</v>
      </c>
      <c r="AH55" s="13" t="s">
        <v>100</v>
      </c>
      <c r="AI55" s="13"/>
    </row>
    <row r="56" customFormat="false" ht="15" hidden="false" customHeight="false" outlineLevel="0" collapsed="false">
      <c r="A56" s="13" t="s">
        <v>36</v>
      </c>
      <c r="B56" s="13"/>
      <c r="C56" s="13" t="s">
        <v>758</v>
      </c>
      <c r="D56" s="13" t="s">
        <v>759</v>
      </c>
      <c r="E56" s="13" t="s">
        <v>157</v>
      </c>
      <c r="F56" s="13" t="s">
        <v>28</v>
      </c>
      <c r="G56" s="14" t="n">
        <v>7349</v>
      </c>
      <c r="H56" s="13" t="s">
        <v>19</v>
      </c>
      <c r="I56" s="15" t="n">
        <v>0.0244</v>
      </c>
      <c r="J56" s="16" t="n">
        <f aca="false">IFERROR(INDEX('Como ler'!$B$20:$B$24,MATCH(H56,'Como ler'!$A$20:$A$24,0)),"")</f>
        <v>0.025</v>
      </c>
      <c r="K56" s="17" t="n">
        <f aca="false">IF(OR(I56="",J56=""),"",I56/J56)</f>
        <v>0.976</v>
      </c>
      <c r="L56" s="14" t="n">
        <v>230</v>
      </c>
      <c r="M56" s="18" t="n">
        <v>16.7</v>
      </c>
      <c r="N56" s="14" t="n">
        <v>870</v>
      </c>
      <c r="O56" s="17" t="n">
        <f aca="false">IF(OR(N56="",G56=0),"",N56/G56)</f>
        <v>0.118383453531093</v>
      </c>
      <c r="P56" s="19" t="n">
        <v>0.11</v>
      </c>
      <c r="Q56" s="20" t="n">
        <v>1.2</v>
      </c>
      <c r="R56" s="21" t="n">
        <v>46285</v>
      </c>
      <c r="S56" s="22" t="n">
        <f aca="false">IF(R56="","",'Como ler'!$B$27-R56)</f>
        <v>7</v>
      </c>
      <c r="T56" s="13" t="n">
        <v>0</v>
      </c>
      <c r="U56" s="13"/>
      <c r="V56" s="13" t="s">
        <v>55</v>
      </c>
      <c r="W56" s="13" t="s">
        <v>760</v>
      </c>
      <c r="X56" s="26" t="s">
        <v>129</v>
      </c>
      <c r="Y56" s="13" t="n">
        <f aca="false">ROUND(IF(K56="",0,MIN(40,40*K56/1.5))+IF(S56="",0,IF(S56&lt;=7,20,IF(S56&lt;=30,12,IF(S56&lt;=90,5,0))))+IF(Q56="",0,MIN(15,Q56*5))+IF(O56="",0,MIN(15,O56*30))+IF(E56="Criador(a)",10,IF(E56="Especialista que cria conteúdo",6,4)),0)</f>
        <v>62</v>
      </c>
      <c r="Z56" s="13"/>
      <c r="AA56" s="13"/>
      <c r="AB56" s="13" t="s">
        <v>113</v>
      </c>
      <c r="AC56" s="13"/>
      <c r="AD56" s="13" t="s">
        <v>578</v>
      </c>
      <c r="AE56" s="13" t="s">
        <v>761</v>
      </c>
      <c r="AF56" s="13" t="s">
        <v>762</v>
      </c>
      <c r="AG56" s="24" t="s">
        <v>763</v>
      </c>
      <c r="AH56" s="13" t="s">
        <v>100</v>
      </c>
      <c r="AI56" s="13"/>
    </row>
    <row r="57" customFormat="false" ht="15" hidden="false" customHeight="false" outlineLevel="0" collapsed="false">
      <c r="A57" s="13" t="s">
        <v>36</v>
      </c>
      <c r="B57" s="13"/>
      <c r="C57" s="13" t="s">
        <v>764</v>
      </c>
      <c r="D57" s="13" t="s">
        <v>765</v>
      </c>
      <c r="E57" s="13" t="s">
        <v>30</v>
      </c>
      <c r="F57" s="13" t="s">
        <v>766</v>
      </c>
      <c r="G57" s="14" t="n">
        <v>7241</v>
      </c>
      <c r="H57" s="13" t="s">
        <v>19</v>
      </c>
      <c r="I57" s="15" t="n">
        <v>0.0327</v>
      </c>
      <c r="J57" s="16" t="n">
        <f aca="false">IFERROR(INDEX('Como ler'!$B$20:$B$24,MATCH(H57,'Como ler'!$A$20:$A$24,0)),"")</f>
        <v>0.025</v>
      </c>
      <c r="K57" s="17" t="n">
        <f aca="false">IF(OR(I57="",J57=""),"",I57/J57)</f>
        <v>1.308</v>
      </c>
      <c r="L57" s="14" t="n">
        <v>199</v>
      </c>
      <c r="M57" s="18" t="n">
        <v>9.7</v>
      </c>
      <c r="N57" s="14" t="n">
        <v>316</v>
      </c>
      <c r="O57" s="17" t="n">
        <f aca="false">IF(OR(N57="",G57=0),"",N57/G57)</f>
        <v>0.0436403811628228</v>
      </c>
      <c r="P57" s="19" t="n">
        <v>0.25</v>
      </c>
      <c r="Q57" s="20" t="n">
        <v>0.1</v>
      </c>
      <c r="R57" s="21" t="n">
        <v>45890</v>
      </c>
      <c r="S57" s="22" t="n">
        <f aca="false">IF(R57="","",'Como ler'!$B$27-R57)</f>
        <v>402</v>
      </c>
      <c r="T57" s="13" t="n">
        <v>1</v>
      </c>
      <c r="U57" s="13" t="s">
        <v>767</v>
      </c>
      <c r="V57" s="13"/>
      <c r="W57" s="13"/>
      <c r="X57" s="25" t="s">
        <v>104</v>
      </c>
      <c r="Y57" s="13" t="n">
        <f aca="false">ROUND(IF(K57="",0,MIN(40,40*K57/1.5))+IF(S57="",0,IF(S57&lt;=7,20,IF(S57&lt;=30,12,IF(S57&lt;=90,5,0))))+IF(Q57="",0,MIN(15,Q57*5))+IF(O57="",0,MIN(15,O57*30))+IF(E57="Criador(a)",10,IF(E57="Especialista que cria conteúdo",6,4)),0)</f>
        <v>47</v>
      </c>
      <c r="Z57" s="13" t="s">
        <v>105</v>
      </c>
      <c r="AA57" s="13"/>
      <c r="AB57" s="13"/>
      <c r="AC57" s="13"/>
      <c r="AD57" s="13" t="s">
        <v>565</v>
      </c>
      <c r="AE57" s="13" t="s">
        <v>591</v>
      </c>
      <c r="AF57" s="13" t="s">
        <v>768</v>
      </c>
      <c r="AG57" s="24" t="s">
        <v>769</v>
      </c>
      <c r="AH57" s="13" t="s">
        <v>100</v>
      </c>
      <c r="AI57" s="13" t="s">
        <v>119</v>
      </c>
    </row>
    <row r="58" customFormat="false" ht="15" hidden="false" customHeight="false" outlineLevel="0" collapsed="false">
      <c r="A58" s="13" t="s">
        <v>36</v>
      </c>
      <c r="B58" s="13" t="s">
        <v>35</v>
      </c>
      <c r="C58" s="13" t="s">
        <v>770</v>
      </c>
      <c r="D58" s="13" t="s">
        <v>771</v>
      </c>
      <c r="E58" s="13" t="s">
        <v>157</v>
      </c>
      <c r="F58" s="13" t="s">
        <v>28</v>
      </c>
      <c r="G58" s="14" t="n">
        <v>7004</v>
      </c>
      <c r="H58" s="13" t="s">
        <v>19</v>
      </c>
      <c r="I58" s="15" t="n">
        <v>0.0031</v>
      </c>
      <c r="J58" s="16" t="n">
        <f aca="false">IFERROR(INDEX('Como ler'!$B$20:$B$24,MATCH(H58,'Como ler'!$A$20:$A$24,0)),"")</f>
        <v>0.025</v>
      </c>
      <c r="K58" s="17" t="n">
        <f aca="false">IF(OR(I58="",J58=""),"",I58/J58)</f>
        <v>0.124</v>
      </c>
      <c r="L58" s="14" t="n">
        <v>26</v>
      </c>
      <c r="M58" s="18" t="n">
        <v>1.3</v>
      </c>
      <c r="N58" s="14" t="n">
        <v>172</v>
      </c>
      <c r="O58" s="17" t="n">
        <f aca="false">IF(OR(N58="",G58=0),"",N58/G58)</f>
        <v>0.0245573957738435</v>
      </c>
      <c r="P58" s="19" t="n">
        <v>0.78</v>
      </c>
      <c r="Q58" s="20" t="n">
        <v>2.2</v>
      </c>
      <c r="R58" s="21" t="n">
        <v>46288</v>
      </c>
      <c r="S58" s="22" t="n">
        <f aca="false">IF(R58="","",'Como ler'!$B$27-R58)</f>
        <v>4</v>
      </c>
      <c r="T58" s="13" t="n">
        <v>0</v>
      </c>
      <c r="U58" s="13"/>
      <c r="V58" s="13" t="s">
        <v>50</v>
      </c>
      <c r="W58" s="13" t="s">
        <v>772</v>
      </c>
      <c r="X58" s="23" t="s">
        <v>94</v>
      </c>
      <c r="Y58" s="13" t="n">
        <f aca="false">ROUND(IF(K58="",0,MIN(40,40*K58/1.5))+IF(S58="",0,IF(S58&lt;=7,20,IF(S58&lt;=30,12,IF(S58&lt;=90,5,0))))+IF(Q58="",0,MIN(15,Q58*5))+IF(O58="",0,MIN(15,O58*30))+IF(E58="Criador(a)",10,IF(E58="Especialista que cria conteúdo",6,4)),0)</f>
        <v>41</v>
      </c>
      <c r="Z58" s="13" t="s">
        <v>105</v>
      </c>
      <c r="AA58" s="13"/>
      <c r="AB58" s="13" t="s">
        <v>113</v>
      </c>
      <c r="AC58" s="13" t="s">
        <v>114</v>
      </c>
      <c r="AD58" s="13" t="s">
        <v>773</v>
      </c>
      <c r="AE58" s="13" t="s">
        <v>774</v>
      </c>
      <c r="AF58" s="13" t="s">
        <v>775</v>
      </c>
      <c r="AG58" s="24" t="s">
        <v>776</v>
      </c>
      <c r="AH58" s="13" t="s">
        <v>100</v>
      </c>
      <c r="AI58" s="13"/>
    </row>
    <row r="59" customFormat="false" ht="15" hidden="false" customHeight="false" outlineLevel="0" collapsed="false">
      <c r="A59" s="13" t="s">
        <v>36</v>
      </c>
      <c r="B59" s="13" t="s">
        <v>37</v>
      </c>
      <c r="C59" s="13" t="s">
        <v>777</v>
      </c>
      <c r="D59" s="13" t="s">
        <v>778</v>
      </c>
      <c r="E59" s="13" t="s">
        <v>200</v>
      </c>
      <c r="F59" s="13" t="s">
        <v>201</v>
      </c>
      <c r="G59" s="14" t="n">
        <v>6753</v>
      </c>
      <c r="H59" s="13" t="s">
        <v>19</v>
      </c>
      <c r="I59" s="15" t="n">
        <v>0.0025</v>
      </c>
      <c r="J59" s="16" t="n">
        <f aca="false">IFERROR(INDEX('Como ler'!$B$20:$B$24,MATCH(H59,'Como ler'!$A$20:$A$24,0)),"")</f>
        <v>0.025</v>
      </c>
      <c r="K59" s="17" t="n">
        <f aca="false">IF(OR(I59="",J59=""),"",I59/J59)</f>
        <v>0.1</v>
      </c>
      <c r="L59" s="14" t="n">
        <v>19</v>
      </c>
      <c r="M59" s="18" t="n">
        <v>1.4</v>
      </c>
      <c r="N59" s="14" t="n">
        <v>438</v>
      </c>
      <c r="O59" s="17" t="n">
        <f aca="false">IF(OR(N59="",G59=0),"",N59/G59)</f>
        <v>0.0648600621945802</v>
      </c>
      <c r="P59" s="19" t="n">
        <v>0.67</v>
      </c>
      <c r="Q59" s="20" t="n">
        <v>0.2</v>
      </c>
      <c r="R59" s="21" t="n">
        <v>45928</v>
      </c>
      <c r="S59" s="22" t="n">
        <f aca="false">IF(R59="","",'Como ler'!$B$27-R59)</f>
        <v>364</v>
      </c>
      <c r="T59" s="13" t="n">
        <v>0</v>
      </c>
      <c r="U59" s="13"/>
      <c r="V59" s="13" t="s">
        <v>46</v>
      </c>
      <c r="W59" s="13" t="s">
        <v>779</v>
      </c>
      <c r="X59" s="23" t="s">
        <v>94</v>
      </c>
      <c r="Y59" s="13" t="n">
        <f aca="false">ROUND(IF(K59="",0,MIN(40,40*K59/1.5))+IF(S59="",0,IF(S59&lt;=7,20,IF(S59&lt;=30,12,IF(S59&lt;=90,5,0))))+IF(Q59="",0,MIN(15,Q59*5))+IF(O59="",0,MIN(15,O59*30))+IF(E59="Criador(a)",10,IF(E59="Especialista que cria conteúdo",6,4)),0)</f>
        <v>10</v>
      </c>
      <c r="Z59" s="13" t="s">
        <v>105</v>
      </c>
      <c r="AA59" s="13"/>
      <c r="AB59" s="13"/>
      <c r="AC59" s="13" t="s">
        <v>130</v>
      </c>
      <c r="AD59" s="13" t="s">
        <v>780</v>
      </c>
      <c r="AE59" s="13" t="s">
        <v>781</v>
      </c>
      <c r="AF59" s="13" t="s">
        <v>782</v>
      </c>
      <c r="AG59" s="24" t="s">
        <v>783</v>
      </c>
      <c r="AH59" s="13" t="s">
        <v>100</v>
      </c>
      <c r="AI59" s="13"/>
    </row>
    <row r="60" customFormat="false" ht="15" hidden="false" customHeight="false" outlineLevel="0" collapsed="false">
      <c r="A60" s="13" t="s">
        <v>36</v>
      </c>
      <c r="B60" s="13"/>
      <c r="C60" s="13" t="s">
        <v>784</v>
      </c>
      <c r="D60" s="13" t="s">
        <v>785</v>
      </c>
      <c r="E60" s="13" t="s">
        <v>30</v>
      </c>
      <c r="F60" s="13" t="s">
        <v>28</v>
      </c>
      <c r="G60" s="14" t="n">
        <v>6670</v>
      </c>
      <c r="H60" s="13" t="s">
        <v>19</v>
      </c>
      <c r="I60" s="15" t="n">
        <v>0.0483</v>
      </c>
      <c r="J60" s="16" t="n">
        <f aca="false">IFERROR(INDEX('Como ler'!$B$20:$B$24,MATCH(H60,'Como ler'!$A$20:$A$24,0)),"")</f>
        <v>0.025</v>
      </c>
      <c r="K60" s="17" t="n">
        <f aca="false">IF(OR(I60="",J60=""),"",I60/J60)</f>
        <v>1.932</v>
      </c>
      <c r="L60" s="14" t="n">
        <v>7659</v>
      </c>
      <c r="M60" s="18" t="n">
        <v>156.1</v>
      </c>
      <c r="N60" s="14" t="n">
        <v>1292</v>
      </c>
      <c r="O60" s="17" t="n">
        <f aca="false">IF(OR(N60="",G60=0),"",N60/G60)</f>
        <v>0.193703148425787</v>
      </c>
      <c r="P60" s="19" t="n">
        <v>1</v>
      </c>
      <c r="Q60" s="20" t="n">
        <v>0.2</v>
      </c>
      <c r="R60" s="21" t="n">
        <v>46288</v>
      </c>
      <c r="S60" s="22" t="n">
        <f aca="false">IF(R60="","",'Como ler'!$B$27-R60)</f>
        <v>4</v>
      </c>
      <c r="T60" s="13" t="n">
        <v>0</v>
      </c>
      <c r="U60" s="13"/>
      <c r="V60" s="13" t="s">
        <v>53</v>
      </c>
      <c r="W60" s="13" t="s">
        <v>53</v>
      </c>
      <c r="X60" s="26" t="s">
        <v>129</v>
      </c>
      <c r="Y60" s="13" t="n">
        <f aca="false">ROUND(IF(K60="",0,MIN(40,40*K60/1.5))+IF(S60="",0,IF(S60&lt;=7,20,IF(S60&lt;=30,12,IF(S60&lt;=90,5,0))))+IF(Q60="",0,MIN(15,Q60*5))+IF(O60="",0,MIN(15,O60*30))+IF(E60="Criador(a)",10,IF(E60="Especialista que cria conteúdo",6,4)),0)</f>
        <v>77</v>
      </c>
      <c r="Z60" s="13"/>
      <c r="AA60" s="13"/>
      <c r="AB60" s="13" t="s">
        <v>113</v>
      </c>
      <c r="AC60" s="13"/>
      <c r="AD60" s="13" t="s">
        <v>510</v>
      </c>
      <c r="AE60" s="13" t="s">
        <v>687</v>
      </c>
      <c r="AF60" s="13" t="s">
        <v>786</v>
      </c>
      <c r="AG60" s="24" t="s">
        <v>787</v>
      </c>
      <c r="AH60" s="13" t="s">
        <v>100</v>
      </c>
      <c r="AI60" s="13"/>
    </row>
    <row r="61" customFormat="false" ht="15" hidden="false" customHeight="false" outlineLevel="0" collapsed="false">
      <c r="A61" s="13" t="s">
        <v>36</v>
      </c>
      <c r="B61" s="13"/>
      <c r="C61" s="13" t="s">
        <v>788</v>
      </c>
      <c r="D61" s="13" t="s">
        <v>789</v>
      </c>
      <c r="E61" s="13" t="s">
        <v>157</v>
      </c>
      <c r="F61" s="13" t="s">
        <v>28</v>
      </c>
      <c r="G61" s="14" t="n">
        <v>6644</v>
      </c>
      <c r="H61" s="13" t="s">
        <v>19</v>
      </c>
      <c r="I61" s="15" t="n">
        <v>0.0045</v>
      </c>
      <c r="J61" s="16" t="n">
        <f aca="false">IFERROR(INDEX('Como ler'!$B$20:$B$24,MATCH(H61,'Como ler'!$A$20:$A$24,0)),"")</f>
        <v>0.025</v>
      </c>
      <c r="K61" s="17" t="n">
        <f aca="false">IF(OR(I61="",J61=""),"",I61/J61)</f>
        <v>0.18</v>
      </c>
      <c r="L61" s="14" t="n">
        <v>33</v>
      </c>
      <c r="M61" s="18" t="n">
        <v>8.9</v>
      </c>
      <c r="N61" s="14" t="n">
        <v>192</v>
      </c>
      <c r="O61" s="17" t="n">
        <f aca="false">IF(OR(N61="",G61=0),"",N61/G61)</f>
        <v>0.028898254063817</v>
      </c>
      <c r="P61" s="19" t="n">
        <v>0.91</v>
      </c>
      <c r="Q61" s="20" t="n">
        <v>0.5</v>
      </c>
      <c r="R61" s="21" t="n">
        <v>46287</v>
      </c>
      <c r="S61" s="22" t="n">
        <f aca="false">IF(R61="","",'Como ler'!$B$27-R61)</f>
        <v>5</v>
      </c>
      <c r="T61" s="13" t="n">
        <v>0</v>
      </c>
      <c r="U61" s="13"/>
      <c r="V61" s="13" t="s">
        <v>50</v>
      </c>
      <c r="W61" s="13" t="s">
        <v>790</v>
      </c>
      <c r="X61" s="23" t="s">
        <v>94</v>
      </c>
      <c r="Y61" s="13" t="n">
        <f aca="false">ROUND(IF(K61="",0,MIN(40,40*K61/1.5))+IF(S61="",0,IF(S61&lt;=7,20,IF(S61&lt;=30,12,IF(S61&lt;=90,5,0))))+IF(Q61="",0,MIN(15,Q61*5))+IF(O61="",0,MIN(15,O61*30))+IF(E61="Criador(a)",10,IF(E61="Especialista que cria conteúdo",6,4)),0)</f>
        <v>34</v>
      </c>
      <c r="Z61" s="13" t="s">
        <v>95</v>
      </c>
      <c r="AA61" s="13"/>
      <c r="AB61" s="13" t="s">
        <v>113</v>
      </c>
      <c r="AC61" s="13"/>
      <c r="AD61" s="13" t="s">
        <v>571</v>
      </c>
      <c r="AE61" s="13" t="s">
        <v>572</v>
      </c>
      <c r="AF61" s="13" t="s">
        <v>791</v>
      </c>
      <c r="AG61" s="24" t="s">
        <v>792</v>
      </c>
      <c r="AH61" s="13" t="s">
        <v>100</v>
      </c>
      <c r="AI61" s="13"/>
    </row>
    <row r="62" customFormat="false" ht="15" hidden="false" customHeight="false" outlineLevel="0" collapsed="false">
      <c r="A62" s="13" t="s">
        <v>36</v>
      </c>
      <c r="B62" s="13"/>
      <c r="C62" s="13" t="s">
        <v>793</v>
      </c>
      <c r="D62" s="13" t="s">
        <v>794</v>
      </c>
      <c r="E62" s="13" t="s">
        <v>30</v>
      </c>
      <c r="F62" s="13" t="s">
        <v>28</v>
      </c>
      <c r="G62" s="14" t="n">
        <v>6582</v>
      </c>
      <c r="H62" s="13" t="s">
        <v>19</v>
      </c>
      <c r="I62" s="15" t="n">
        <v>0.0208</v>
      </c>
      <c r="J62" s="16" t="n">
        <f aca="false">IFERROR(INDEX('Como ler'!$B$20:$B$24,MATCH(H62,'Como ler'!$A$20:$A$24,0)),"")</f>
        <v>0.025</v>
      </c>
      <c r="K62" s="17" t="n">
        <f aca="false">IF(OR(I62="",J62=""),"",I62/J62)</f>
        <v>0.832</v>
      </c>
      <c r="L62" s="14" t="n">
        <v>126</v>
      </c>
      <c r="M62" s="18" t="n">
        <v>26.6</v>
      </c>
      <c r="N62" s="14" t="n">
        <v>689</v>
      </c>
      <c r="O62" s="17" t="n">
        <f aca="false">IF(OR(N62="",G62=0),"",N62/G62)</f>
        <v>0.104679428745062</v>
      </c>
      <c r="P62" s="19" t="n">
        <v>0.5</v>
      </c>
      <c r="Q62" s="20" t="n">
        <v>0.1</v>
      </c>
      <c r="R62" s="21" t="n">
        <v>46287</v>
      </c>
      <c r="S62" s="22" t="n">
        <f aca="false">IF(R62="","",'Como ler'!$B$27-R62)</f>
        <v>5</v>
      </c>
      <c r="T62" s="13" t="n">
        <v>0</v>
      </c>
      <c r="U62" s="13"/>
      <c r="V62" s="13" t="s">
        <v>48</v>
      </c>
      <c r="W62" s="13" t="s">
        <v>795</v>
      </c>
      <c r="X62" s="25" t="s">
        <v>104</v>
      </c>
      <c r="Y62" s="13" t="n">
        <f aca="false">ROUND(IF(K62="",0,MIN(40,40*K62/1.5))+IF(S62="",0,IF(S62&lt;=7,20,IF(S62&lt;=30,12,IF(S62&lt;=90,5,0))))+IF(Q62="",0,MIN(15,Q62*5))+IF(O62="",0,MIN(15,O62*30))+IF(E62="Criador(a)",10,IF(E62="Especialista que cria conteúdo",6,4)),0)</f>
        <v>56</v>
      </c>
      <c r="Z62" s="13" t="s">
        <v>105</v>
      </c>
      <c r="AA62" s="13"/>
      <c r="AB62" s="13" t="s">
        <v>113</v>
      </c>
      <c r="AC62" s="13"/>
      <c r="AD62" s="13" t="s">
        <v>523</v>
      </c>
      <c r="AE62" s="13" t="s">
        <v>796</v>
      </c>
      <c r="AF62" s="13" t="s">
        <v>797</v>
      </c>
      <c r="AG62" s="24" t="s">
        <v>798</v>
      </c>
      <c r="AH62" s="13" t="s">
        <v>100</v>
      </c>
      <c r="AI62" s="13"/>
    </row>
    <row r="63" customFormat="false" ht="15" hidden="false" customHeight="false" outlineLevel="0" collapsed="false">
      <c r="A63" s="13" t="s">
        <v>36</v>
      </c>
      <c r="B63" s="13"/>
      <c r="C63" s="13" t="s">
        <v>799</v>
      </c>
      <c r="D63" s="13" t="s">
        <v>800</v>
      </c>
      <c r="E63" s="13" t="s">
        <v>30</v>
      </c>
      <c r="F63" s="13" t="s">
        <v>28</v>
      </c>
      <c r="G63" s="14" t="n">
        <v>6130</v>
      </c>
      <c r="H63" s="13" t="s">
        <v>19</v>
      </c>
      <c r="I63" s="15" t="n">
        <v>0.0134</v>
      </c>
      <c r="J63" s="16" t="n">
        <f aca="false">IFERROR(INDEX('Como ler'!$B$20:$B$24,MATCH(H63,'Como ler'!$A$20:$A$24,0)),"")</f>
        <v>0.025</v>
      </c>
      <c r="K63" s="17" t="n">
        <f aca="false">IF(OR(I63="",J63=""),"",I63/J63)</f>
        <v>0.536</v>
      </c>
      <c r="L63" s="14" t="n">
        <v>82</v>
      </c>
      <c r="M63" s="18" t="n">
        <v>7.4</v>
      </c>
      <c r="N63" s="14" t="n">
        <v>1250</v>
      </c>
      <c r="O63" s="17" t="n">
        <f aca="false">IF(OR(N63="",G63=0),"",N63/G63)</f>
        <v>0.203915171288744</v>
      </c>
      <c r="P63" s="19" t="n">
        <v>0.92</v>
      </c>
      <c r="Q63" s="20" t="n">
        <v>2.9</v>
      </c>
      <c r="R63" s="21" t="n">
        <v>46292</v>
      </c>
      <c r="S63" s="22" t="n">
        <f aca="false">IF(R63="","",'Como ler'!$B$27-R63)</f>
        <v>0</v>
      </c>
      <c r="T63" s="13" t="n">
        <v>0</v>
      </c>
      <c r="U63" s="13"/>
      <c r="V63" s="13" t="s">
        <v>45</v>
      </c>
      <c r="W63" s="13" t="s">
        <v>801</v>
      </c>
      <c r="X63" s="25" t="s">
        <v>104</v>
      </c>
      <c r="Y63" s="13" t="n">
        <f aca="false">ROUND(IF(K63="",0,MIN(40,40*K63/1.5))+IF(S63="",0,IF(S63&lt;=7,20,IF(S63&lt;=30,12,IF(S63&lt;=90,5,0))))+IF(Q63="",0,MIN(15,Q63*5))+IF(O63="",0,MIN(15,O63*30))+IF(E63="Criador(a)",10,IF(E63="Especialista que cria conteúdo",6,4)),0)</f>
        <v>65</v>
      </c>
      <c r="Z63" s="13" t="s">
        <v>622</v>
      </c>
      <c r="AA63" s="13"/>
      <c r="AB63" s="13" t="s">
        <v>113</v>
      </c>
      <c r="AC63" s="13"/>
      <c r="AD63" s="13" t="s">
        <v>802</v>
      </c>
      <c r="AE63" s="13" t="s">
        <v>803</v>
      </c>
      <c r="AF63" s="13" t="s">
        <v>804</v>
      </c>
      <c r="AG63" s="24" t="s">
        <v>805</v>
      </c>
      <c r="AH63" s="13" t="s">
        <v>100</v>
      </c>
      <c r="AI63" s="13"/>
    </row>
    <row r="64" customFormat="false" ht="15" hidden="false" customHeight="false" outlineLevel="0" collapsed="false">
      <c r="A64" s="13" t="s">
        <v>36</v>
      </c>
      <c r="B64" s="13"/>
      <c r="C64" s="13" t="s">
        <v>806</v>
      </c>
      <c r="D64" s="13" t="s">
        <v>807</v>
      </c>
      <c r="E64" s="13" t="s">
        <v>200</v>
      </c>
      <c r="F64" s="13" t="s">
        <v>201</v>
      </c>
      <c r="G64" s="14" t="n">
        <v>5582</v>
      </c>
      <c r="H64" s="13" t="s">
        <v>19</v>
      </c>
      <c r="I64" s="15" t="n">
        <v>0.003</v>
      </c>
      <c r="J64" s="16" t="n">
        <f aca="false">IFERROR(INDEX('Como ler'!$B$20:$B$24,MATCH(H64,'Como ler'!$A$20:$A$24,0)),"")</f>
        <v>0.025</v>
      </c>
      <c r="K64" s="17" t="n">
        <f aca="false">IF(OR(I64="",J64=""),"",I64/J64)</f>
        <v>0.12</v>
      </c>
      <c r="L64" s="14" t="n">
        <v>19</v>
      </c>
      <c r="M64" s="18" t="n">
        <v>1.1</v>
      </c>
      <c r="N64" s="14" t="n">
        <v>210</v>
      </c>
      <c r="O64" s="17" t="n">
        <f aca="false">IF(OR(N64="",G64=0),"",N64/G64)</f>
        <v>0.0376209243998567</v>
      </c>
      <c r="P64" s="19" t="n">
        <v>0.42</v>
      </c>
      <c r="Q64" s="20" t="n">
        <v>12.8</v>
      </c>
      <c r="R64" s="21" t="n">
        <v>46292</v>
      </c>
      <c r="S64" s="22" t="n">
        <f aca="false">IF(R64="","",'Como ler'!$B$27-R64)</f>
        <v>0</v>
      </c>
      <c r="T64" s="13" t="n">
        <v>0</v>
      </c>
      <c r="U64" s="13"/>
      <c r="V64" s="13" t="s">
        <v>45</v>
      </c>
      <c r="W64" s="13" t="s">
        <v>45</v>
      </c>
      <c r="X64" s="25" t="s">
        <v>104</v>
      </c>
      <c r="Y64" s="13" t="n">
        <f aca="false">ROUND(IF(K64="",0,MIN(40,40*K64/1.5))+IF(S64="",0,IF(S64&lt;=7,20,IF(S64&lt;=30,12,IF(S64&lt;=90,5,0))))+IF(Q64="",0,MIN(15,Q64*5))+IF(O64="",0,MIN(15,O64*30))+IF(E64="Criador(a)",10,IF(E64="Especialista que cria conteúdo",6,4)),0)</f>
        <v>43</v>
      </c>
      <c r="Z64" s="13" t="s">
        <v>105</v>
      </c>
      <c r="AA64" s="13"/>
      <c r="AB64" s="13"/>
      <c r="AC64" s="13"/>
      <c r="AD64" s="13" t="s">
        <v>493</v>
      </c>
      <c r="AE64" s="13"/>
      <c r="AF64" s="13" t="s">
        <v>808</v>
      </c>
      <c r="AG64" s="24" t="s">
        <v>809</v>
      </c>
      <c r="AH64" s="13" t="s">
        <v>100</v>
      </c>
      <c r="AI64" s="13"/>
    </row>
    <row r="65" customFormat="false" ht="15" hidden="false" customHeight="false" outlineLevel="0" collapsed="false">
      <c r="A65" s="13" t="s">
        <v>36</v>
      </c>
      <c r="B65" s="13"/>
      <c r="C65" s="13" t="s">
        <v>810</v>
      </c>
      <c r="D65" s="13" t="s">
        <v>811</v>
      </c>
      <c r="E65" s="13" t="s">
        <v>30</v>
      </c>
      <c r="F65" s="13" t="s">
        <v>28</v>
      </c>
      <c r="G65" s="14" t="n">
        <v>5420</v>
      </c>
      <c r="H65" s="13" t="s">
        <v>19</v>
      </c>
      <c r="I65" s="15" t="n">
        <v>0.0027</v>
      </c>
      <c r="J65" s="16" t="n">
        <f aca="false">IFERROR(INDEX('Como ler'!$B$20:$B$24,MATCH(H65,'Como ler'!$A$20:$A$24,0)),"")</f>
        <v>0.025</v>
      </c>
      <c r="K65" s="17" t="n">
        <f aca="false">IF(OR(I65="",J65=""),"",I65/J65)</f>
        <v>0.108</v>
      </c>
      <c r="L65" s="14" t="n">
        <v>26</v>
      </c>
      <c r="M65" s="18" t="n">
        <v>0.2</v>
      </c>
      <c r="N65" s="14" t="n">
        <v>4</v>
      </c>
      <c r="O65" s="17" t="n">
        <f aca="false">IF(OR(N65="",G65=0),"",N65/G65)</f>
        <v>0.000738007380073801</v>
      </c>
      <c r="P65" s="19" t="n">
        <v>1</v>
      </c>
      <c r="Q65" s="20" t="n">
        <v>0.2</v>
      </c>
      <c r="R65" s="21" t="n">
        <v>45867</v>
      </c>
      <c r="S65" s="22" t="n">
        <f aca="false">IF(R65="","",'Como ler'!$B$27-R65)</f>
        <v>425</v>
      </c>
      <c r="T65" s="13" t="n">
        <v>0</v>
      </c>
      <c r="U65" s="13"/>
      <c r="V65" s="13" t="s">
        <v>57</v>
      </c>
      <c r="W65" s="13" t="s">
        <v>812</v>
      </c>
      <c r="X65" s="26" t="s">
        <v>129</v>
      </c>
      <c r="Y65" s="13" t="n">
        <f aca="false">ROUND(IF(K65="",0,MIN(40,40*K65/1.5))+IF(S65="",0,IF(S65&lt;=7,20,IF(S65&lt;=30,12,IF(S65&lt;=90,5,0))))+IF(Q65="",0,MIN(15,Q65*5))+IF(O65="",0,MIN(15,O65*30))+IF(E65="Criador(a)",10,IF(E65="Especialista que cria conteúdo",6,4)),0)</f>
        <v>14</v>
      </c>
      <c r="Z65" s="13" t="s">
        <v>813</v>
      </c>
      <c r="AA65" s="13"/>
      <c r="AB65" s="13"/>
      <c r="AC65" s="13"/>
      <c r="AD65" s="13" t="s">
        <v>578</v>
      </c>
      <c r="AE65" s="13" t="s">
        <v>814</v>
      </c>
      <c r="AF65" s="13" t="s">
        <v>815</v>
      </c>
      <c r="AG65" s="24" t="s">
        <v>816</v>
      </c>
      <c r="AH65" s="13" t="s">
        <v>100</v>
      </c>
      <c r="AI65" s="13"/>
    </row>
    <row r="66" customFormat="false" ht="15" hidden="false" customHeight="false" outlineLevel="0" collapsed="false">
      <c r="A66" s="13" t="s">
        <v>36</v>
      </c>
      <c r="B66" s="13"/>
      <c r="C66" s="13" t="s">
        <v>817</v>
      </c>
      <c r="D66" s="13"/>
      <c r="E66" s="13" t="s">
        <v>30</v>
      </c>
      <c r="F66" s="13" t="s">
        <v>28</v>
      </c>
      <c r="G66" s="14" t="n">
        <v>5404</v>
      </c>
      <c r="H66" s="13" t="s">
        <v>19</v>
      </c>
      <c r="I66" s="15" t="n">
        <v>0.0113</v>
      </c>
      <c r="J66" s="16" t="n">
        <f aca="false">IFERROR(INDEX('Como ler'!$B$20:$B$24,MATCH(H66,'Como ler'!$A$20:$A$24,0)),"")</f>
        <v>0.025</v>
      </c>
      <c r="K66" s="17" t="n">
        <f aca="false">IF(OR(I66="",J66=""),"",I66/J66)</f>
        <v>0.452</v>
      </c>
      <c r="L66" s="14" t="n">
        <v>57</v>
      </c>
      <c r="M66" s="18" t="n">
        <v>7.3</v>
      </c>
      <c r="N66" s="14" t="n">
        <v>88</v>
      </c>
      <c r="O66" s="17" t="n">
        <f aca="false">IF(OR(N66="",G66=0),"",N66/G66)</f>
        <v>0.0162842339008142</v>
      </c>
      <c r="P66" s="19" t="n">
        <v>0.11</v>
      </c>
      <c r="Q66" s="20" t="n">
        <v>0.3</v>
      </c>
      <c r="R66" s="21" t="n">
        <v>46285</v>
      </c>
      <c r="S66" s="22" t="n">
        <f aca="false">IF(R66="","",'Como ler'!$B$27-R66)</f>
        <v>7</v>
      </c>
      <c r="T66" s="13" t="n">
        <v>0</v>
      </c>
      <c r="U66" s="13"/>
      <c r="V66" s="13"/>
      <c r="W66" s="13"/>
      <c r="X66" s="25" t="s">
        <v>104</v>
      </c>
      <c r="Y66" s="13" t="n">
        <f aca="false">ROUND(IF(K66="",0,MIN(40,40*K66/1.5))+IF(S66="",0,IF(S66&lt;=7,20,IF(S66&lt;=30,12,IF(S66&lt;=90,5,0))))+IF(Q66="",0,MIN(15,Q66*5))+IF(O66="",0,MIN(15,O66*30))+IF(E66="Criador(a)",10,IF(E66="Especialista que cria conteúdo",6,4)),0)</f>
        <v>44</v>
      </c>
      <c r="Z66" s="13"/>
      <c r="AA66" s="13"/>
      <c r="AB66" s="13"/>
      <c r="AC66" s="13"/>
      <c r="AD66" s="13" t="s">
        <v>523</v>
      </c>
      <c r="AE66" s="13" t="s">
        <v>818</v>
      </c>
      <c r="AF66" s="13" t="s">
        <v>819</v>
      </c>
      <c r="AG66" s="24" t="s">
        <v>820</v>
      </c>
      <c r="AH66" s="13" t="s">
        <v>100</v>
      </c>
      <c r="AI66" s="13"/>
    </row>
    <row r="67" customFormat="false" ht="15" hidden="false" customHeight="false" outlineLevel="0" collapsed="false">
      <c r="A67" s="13" t="s">
        <v>36</v>
      </c>
      <c r="B67" s="13"/>
      <c r="C67" s="13" t="s">
        <v>821</v>
      </c>
      <c r="D67" s="13" t="s">
        <v>822</v>
      </c>
      <c r="E67" s="13" t="s">
        <v>157</v>
      </c>
      <c r="F67" s="13" t="s">
        <v>29</v>
      </c>
      <c r="G67" s="14" t="n">
        <v>4865</v>
      </c>
      <c r="H67" s="13" t="s">
        <v>19</v>
      </c>
      <c r="I67" s="15" t="n">
        <v>0.0027</v>
      </c>
      <c r="J67" s="16" t="n">
        <f aca="false">IFERROR(INDEX('Como ler'!$B$20:$B$24,MATCH(H67,'Como ler'!$A$20:$A$24,0)),"")</f>
        <v>0.025</v>
      </c>
      <c r="K67" s="17" t="n">
        <f aca="false">IF(OR(I67="",J67=""),"",I67/J67)</f>
        <v>0.108</v>
      </c>
      <c r="L67" s="14" t="n">
        <v>17</v>
      </c>
      <c r="M67" s="18" t="n">
        <v>1.8</v>
      </c>
      <c r="N67" s="14" t="n">
        <v>1730</v>
      </c>
      <c r="O67" s="17" t="n">
        <f aca="false">IF(OR(N67="",G67=0),"",N67/G67)</f>
        <v>0.355601233299075</v>
      </c>
      <c r="P67" s="19" t="n">
        <v>0.33</v>
      </c>
      <c r="Q67" s="20" t="n">
        <v>2.7</v>
      </c>
      <c r="R67" s="21" t="n">
        <v>46287</v>
      </c>
      <c r="S67" s="22" t="n">
        <f aca="false">IF(R67="","",'Como ler'!$B$27-R67)</f>
        <v>5</v>
      </c>
      <c r="T67" s="13" t="n">
        <v>0</v>
      </c>
      <c r="U67" s="13"/>
      <c r="V67" s="13" t="s">
        <v>49</v>
      </c>
      <c r="W67" s="13" t="s">
        <v>823</v>
      </c>
      <c r="X67" s="23" t="s">
        <v>94</v>
      </c>
      <c r="Y67" s="13" t="n">
        <f aca="false">ROUND(IF(K67="",0,MIN(40,40*K67/1.5))+IF(S67="",0,IF(S67&lt;=7,20,IF(S67&lt;=30,12,IF(S67&lt;=90,5,0))))+IF(Q67="",0,MIN(15,Q67*5))+IF(O67="",0,MIN(15,O67*30))+IF(E67="Criador(a)",10,IF(E67="Especialista que cria conteúdo",6,4)),0)</f>
        <v>53</v>
      </c>
      <c r="Z67" s="13"/>
      <c r="AA67" s="13" t="s">
        <v>113</v>
      </c>
      <c r="AB67" s="13" t="s">
        <v>113</v>
      </c>
      <c r="AC67" s="13"/>
      <c r="AD67" s="13" t="s">
        <v>478</v>
      </c>
      <c r="AE67" s="13" t="s">
        <v>824</v>
      </c>
      <c r="AF67" s="13" t="s">
        <v>825</v>
      </c>
      <c r="AG67" s="24" t="s">
        <v>826</v>
      </c>
      <c r="AH67" s="13" t="s">
        <v>100</v>
      </c>
      <c r="AI67" s="13"/>
    </row>
    <row r="68" customFormat="false" ht="15" hidden="false" customHeight="false" outlineLevel="0" collapsed="false">
      <c r="A68" s="13" t="s">
        <v>36</v>
      </c>
      <c r="B68" s="13"/>
      <c r="C68" s="13" t="s">
        <v>827</v>
      </c>
      <c r="D68" s="13" t="s">
        <v>828</v>
      </c>
      <c r="E68" s="13" t="s">
        <v>30</v>
      </c>
      <c r="F68" s="13" t="s">
        <v>28</v>
      </c>
      <c r="G68" s="14" t="n">
        <v>4755</v>
      </c>
      <c r="H68" s="13" t="s">
        <v>19</v>
      </c>
      <c r="I68" s="15" t="n">
        <v>0.0248</v>
      </c>
      <c r="J68" s="16" t="n">
        <f aca="false">IFERROR(INDEX('Como ler'!$B$20:$B$24,MATCH(H68,'Como ler'!$A$20:$A$24,0)),"")</f>
        <v>0.025</v>
      </c>
      <c r="K68" s="17" t="n">
        <f aca="false">IF(OR(I68="",J68=""),"",I68/J68)</f>
        <v>0.992</v>
      </c>
      <c r="L68" s="14" t="n">
        <v>109</v>
      </c>
      <c r="M68" s="18" t="n">
        <v>28.2</v>
      </c>
      <c r="N68" s="14" t="n">
        <v>278</v>
      </c>
      <c r="O68" s="17" t="n">
        <f aca="false">IF(OR(N68="",G68=0),"",N68/G68)</f>
        <v>0.0584647739221872</v>
      </c>
      <c r="P68" s="19" t="n">
        <v>0.18</v>
      </c>
      <c r="Q68" s="20" t="n">
        <v>0.7</v>
      </c>
      <c r="R68" s="21" t="n">
        <v>46283</v>
      </c>
      <c r="S68" s="22" t="n">
        <f aca="false">IF(R68="","",'Como ler'!$B$27-R68)</f>
        <v>9</v>
      </c>
      <c r="T68" s="13" t="n">
        <v>0</v>
      </c>
      <c r="U68" s="13"/>
      <c r="V68" s="13" t="s">
        <v>47</v>
      </c>
      <c r="W68" s="13" t="s">
        <v>47</v>
      </c>
      <c r="X68" s="25" t="s">
        <v>104</v>
      </c>
      <c r="Y68" s="13" t="n">
        <f aca="false">ROUND(IF(K68="",0,MIN(40,40*K68/1.5))+IF(S68="",0,IF(S68&lt;=7,20,IF(S68&lt;=30,12,IF(S68&lt;=90,5,0))))+IF(Q68="",0,MIN(15,Q68*5))+IF(O68="",0,MIN(15,O68*30))+IF(E68="Criador(a)",10,IF(E68="Especialista que cria conteúdo",6,4)),0)</f>
        <v>54</v>
      </c>
      <c r="Z68" s="13"/>
      <c r="AA68" s="13"/>
      <c r="AB68" s="13"/>
      <c r="AC68" s="13"/>
      <c r="AD68" s="13" t="s">
        <v>597</v>
      </c>
      <c r="AE68" s="13" t="s">
        <v>829</v>
      </c>
      <c r="AF68" s="13"/>
      <c r="AG68" s="24" t="s">
        <v>830</v>
      </c>
      <c r="AH68" s="13" t="s">
        <v>100</v>
      </c>
      <c r="AI68" s="13"/>
    </row>
    <row r="69" customFormat="false" ht="15" hidden="false" customHeight="false" outlineLevel="0" collapsed="false">
      <c r="A69" s="13" t="s">
        <v>36</v>
      </c>
      <c r="B69" s="13"/>
      <c r="C69" s="13" t="s">
        <v>831</v>
      </c>
      <c r="D69" s="13" t="s">
        <v>832</v>
      </c>
      <c r="E69" s="13" t="s">
        <v>157</v>
      </c>
      <c r="F69" s="13" t="s">
        <v>29</v>
      </c>
      <c r="G69" s="14" t="n">
        <v>4628</v>
      </c>
      <c r="H69" s="13" t="s">
        <v>19</v>
      </c>
      <c r="I69" s="15" t="n">
        <v>0.0037</v>
      </c>
      <c r="J69" s="16" t="n">
        <f aca="false">IFERROR(INDEX('Como ler'!$B$20:$B$24,MATCH(H69,'Como ler'!$A$20:$A$24,0)),"")</f>
        <v>0.025</v>
      </c>
      <c r="K69" s="17" t="n">
        <f aca="false">IF(OR(I69="",J69=""),"",I69/J69)</f>
        <v>0.148</v>
      </c>
      <c r="L69" s="14" t="n">
        <v>15</v>
      </c>
      <c r="M69" s="18" t="n">
        <v>1.8</v>
      </c>
      <c r="N69" s="14" t="n">
        <v>58</v>
      </c>
      <c r="O69" s="17" t="n">
        <f aca="false">IF(OR(N69="",G69=0),"",N69/G69)</f>
        <v>0.0125324114088159</v>
      </c>
      <c r="P69" s="19" t="n">
        <v>1</v>
      </c>
      <c r="Q69" s="20" t="n">
        <v>5.6</v>
      </c>
      <c r="R69" s="21" t="n">
        <v>46292</v>
      </c>
      <c r="S69" s="22" t="n">
        <f aca="false">IF(R69="","",'Como ler'!$B$27-R69)</f>
        <v>0</v>
      </c>
      <c r="T69" s="13" t="n">
        <v>0</v>
      </c>
      <c r="U69" s="13"/>
      <c r="V69" s="13" t="s">
        <v>45</v>
      </c>
      <c r="W69" s="13" t="s">
        <v>45</v>
      </c>
      <c r="X69" s="25" t="s">
        <v>104</v>
      </c>
      <c r="Y69" s="13" t="n">
        <f aca="false">ROUND(IF(K69="",0,MIN(40,40*K69/1.5))+IF(S69="",0,IF(S69&lt;=7,20,IF(S69&lt;=30,12,IF(S69&lt;=90,5,0))))+IF(Q69="",0,MIN(15,Q69*5))+IF(O69="",0,MIN(15,O69*30))+IF(E69="Criador(a)",10,IF(E69="Especialista que cria conteúdo",6,4)),0)</f>
        <v>45</v>
      </c>
      <c r="Z69" s="13"/>
      <c r="AA69" s="13"/>
      <c r="AB69" s="13" t="s">
        <v>113</v>
      </c>
      <c r="AC69" s="13"/>
      <c r="AD69" s="13" t="s">
        <v>597</v>
      </c>
      <c r="AE69" s="13" t="s">
        <v>833</v>
      </c>
      <c r="AF69" s="13" t="s">
        <v>834</v>
      </c>
      <c r="AG69" s="24" t="s">
        <v>835</v>
      </c>
      <c r="AH69" s="13" t="s">
        <v>100</v>
      </c>
      <c r="AI69" s="13"/>
    </row>
    <row r="70" customFormat="false" ht="15" hidden="false" customHeight="false" outlineLevel="0" collapsed="false">
      <c r="A70" s="13" t="s">
        <v>36</v>
      </c>
      <c r="B70" s="13" t="s">
        <v>38</v>
      </c>
      <c r="C70" s="13" t="s">
        <v>836</v>
      </c>
      <c r="D70" s="13" t="s">
        <v>837</v>
      </c>
      <c r="E70" s="13" t="s">
        <v>157</v>
      </c>
      <c r="F70" s="13" t="s">
        <v>28</v>
      </c>
      <c r="G70" s="14" t="n">
        <v>4387</v>
      </c>
      <c r="H70" s="13" t="s">
        <v>19</v>
      </c>
      <c r="I70" s="15" t="n">
        <v>0.0071</v>
      </c>
      <c r="J70" s="16" t="n">
        <f aca="false">IFERROR(INDEX('Como ler'!$B$20:$B$24,MATCH(H70,'Como ler'!$A$20:$A$24,0)),"")</f>
        <v>0.025</v>
      </c>
      <c r="K70" s="17" t="n">
        <f aca="false">IF(OR(I70="",J70=""),"",I70/J70)</f>
        <v>0.284</v>
      </c>
      <c r="L70" s="14" t="n">
        <v>38</v>
      </c>
      <c r="M70" s="18" t="n">
        <v>3</v>
      </c>
      <c r="N70" s="14" t="n">
        <v>86</v>
      </c>
      <c r="O70" s="17" t="n">
        <f aca="false">IF(OR(N70="",G70=0),"",N70/G70)</f>
        <v>0.0196033736038295</v>
      </c>
      <c r="P70" s="19" t="n">
        <v>0.44</v>
      </c>
      <c r="Q70" s="20" t="n">
        <v>0.7</v>
      </c>
      <c r="R70" s="21" t="n">
        <v>46290</v>
      </c>
      <c r="S70" s="22" t="n">
        <f aca="false">IF(R70="","",'Como ler'!$B$27-R70)</f>
        <v>2</v>
      </c>
      <c r="T70" s="13" t="n">
        <v>0</v>
      </c>
      <c r="U70" s="13"/>
      <c r="V70" s="13" t="s">
        <v>45</v>
      </c>
      <c r="W70" s="13" t="s">
        <v>180</v>
      </c>
      <c r="X70" s="26" t="s">
        <v>129</v>
      </c>
      <c r="Y70" s="13" t="n">
        <f aca="false">ROUND(IF(K70="",0,MIN(40,40*K70/1.5))+IF(S70="",0,IF(S70&lt;=7,20,IF(S70&lt;=30,12,IF(S70&lt;=90,5,0))))+IF(Q70="",0,MIN(15,Q70*5))+IF(O70="",0,MIN(15,O70*30))+IF(E70="Criador(a)",10,IF(E70="Especialista que cria conteúdo",6,4)),0)</f>
        <v>38</v>
      </c>
      <c r="Z70" s="13" t="s">
        <v>430</v>
      </c>
      <c r="AA70" s="13"/>
      <c r="AB70" s="13" t="s">
        <v>113</v>
      </c>
      <c r="AC70" s="13"/>
      <c r="AD70" s="13" t="s">
        <v>838</v>
      </c>
      <c r="AE70" s="13" t="s">
        <v>839</v>
      </c>
      <c r="AF70" s="13" t="s">
        <v>840</v>
      </c>
      <c r="AG70" s="24" t="s">
        <v>841</v>
      </c>
      <c r="AH70" s="13" t="s">
        <v>100</v>
      </c>
      <c r="AI70" s="13"/>
    </row>
    <row r="71" customFormat="false" ht="15" hidden="false" customHeight="false" outlineLevel="0" collapsed="false">
      <c r="A71" s="13" t="s">
        <v>36</v>
      </c>
      <c r="B71" s="13" t="s">
        <v>35</v>
      </c>
      <c r="C71" s="13" t="s">
        <v>842</v>
      </c>
      <c r="D71" s="13" t="s">
        <v>843</v>
      </c>
      <c r="E71" s="13" t="s">
        <v>157</v>
      </c>
      <c r="F71" s="13" t="s">
        <v>28</v>
      </c>
      <c r="G71" s="14" t="n">
        <v>3959</v>
      </c>
      <c r="H71" s="13" t="s">
        <v>19</v>
      </c>
      <c r="I71" s="15" t="n">
        <v>0.0381</v>
      </c>
      <c r="J71" s="16" t="n">
        <f aca="false">IFERROR(INDEX('Como ler'!$B$20:$B$24,MATCH(H71,'Como ler'!$A$20:$A$24,0)),"")</f>
        <v>0.025</v>
      </c>
      <c r="K71" s="17" t="n">
        <f aca="false">IF(OR(I71="",J71=""),"",I71/J71)</f>
        <v>1.524</v>
      </c>
      <c r="L71" s="14" t="n">
        <v>280</v>
      </c>
      <c r="M71" s="18" t="n">
        <v>26.6</v>
      </c>
      <c r="N71" s="14" t="n">
        <v>2045</v>
      </c>
      <c r="O71" s="17" t="n">
        <f aca="false">IF(OR(N71="",G71=0),"",N71/G71)</f>
        <v>0.516544581965143</v>
      </c>
      <c r="P71" s="19" t="n">
        <v>0.56</v>
      </c>
      <c r="Q71" s="20" t="n">
        <v>0.6</v>
      </c>
      <c r="R71" s="21" t="n">
        <v>46287</v>
      </c>
      <c r="S71" s="22" t="n">
        <f aca="false">IF(R71="","",'Como ler'!$B$27-R71)</f>
        <v>5</v>
      </c>
      <c r="T71" s="13" t="n">
        <v>0</v>
      </c>
      <c r="U71" s="13"/>
      <c r="V71" s="13"/>
      <c r="W71" s="13"/>
      <c r="X71" s="25" t="s">
        <v>104</v>
      </c>
      <c r="Y71" s="13" t="n">
        <f aca="false">ROUND(IF(K71="",0,MIN(40,40*K71/1.5))+IF(S71="",0,IF(S71&lt;=7,20,IF(S71&lt;=30,12,IF(S71&lt;=90,5,0))))+IF(Q71="",0,MIN(15,Q71*5))+IF(O71="",0,MIN(15,O71*30))+IF(E71="Criador(a)",10,IF(E71="Especialista que cria conteúdo",6,4)),0)</f>
        <v>84</v>
      </c>
      <c r="Z71" s="13" t="s">
        <v>289</v>
      </c>
      <c r="AA71" s="13"/>
      <c r="AB71" s="13"/>
      <c r="AC71" s="13"/>
      <c r="AD71" s="13" t="s">
        <v>844</v>
      </c>
      <c r="AE71" s="13" t="s">
        <v>845</v>
      </c>
      <c r="AF71" s="13" t="s">
        <v>846</v>
      </c>
      <c r="AG71" s="24" t="s">
        <v>847</v>
      </c>
      <c r="AH71" s="13" t="s">
        <v>100</v>
      </c>
      <c r="AI71" s="13"/>
    </row>
    <row r="72" customFormat="false" ht="15" hidden="false" customHeight="false" outlineLevel="0" collapsed="false">
      <c r="A72" s="13" t="s">
        <v>36</v>
      </c>
      <c r="B72" s="13"/>
      <c r="C72" s="13" t="s">
        <v>848</v>
      </c>
      <c r="D72" s="13" t="s">
        <v>849</v>
      </c>
      <c r="E72" s="13" t="s">
        <v>157</v>
      </c>
      <c r="F72" s="13" t="s">
        <v>28</v>
      </c>
      <c r="G72" s="14" t="n">
        <v>3469</v>
      </c>
      <c r="H72" s="13" t="s">
        <v>19</v>
      </c>
      <c r="I72" s="15" t="n">
        <v>0.0166</v>
      </c>
      <c r="J72" s="16" t="n">
        <f aca="false">IFERROR(INDEX('Como ler'!$B$20:$B$24,MATCH(H72,'Como ler'!$A$20:$A$24,0)),"")</f>
        <v>0.025</v>
      </c>
      <c r="K72" s="17" t="n">
        <f aca="false">IF(OR(I72="",J72=""),"",I72/J72)</f>
        <v>0.664</v>
      </c>
      <c r="L72" s="14" t="n">
        <v>231</v>
      </c>
      <c r="M72" s="18" t="n">
        <v>10.6</v>
      </c>
      <c r="N72" s="14" t="n">
        <v>831</v>
      </c>
      <c r="O72" s="17" t="n">
        <f aca="false">IF(OR(N72="",G72=0),"",N72/G72)</f>
        <v>0.239550302680888</v>
      </c>
      <c r="P72" s="19" t="n">
        <v>0.5</v>
      </c>
      <c r="Q72" s="20" t="n">
        <v>0.4</v>
      </c>
      <c r="R72" s="21" t="n">
        <v>46285</v>
      </c>
      <c r="S72" s="22" t="n">
        <f aca="false">IF(R72="","",'Como ler'!$B$27-R72)</f>
        <v>7</v>
      </c>
      <c r="T72" s="13" t="n">
        <v>0</v>
      </c>
      <c r="U72" s="13"/>
      <c r="V72" s="13" t="s">
        <v>45</v>
      </c>
      <c r="W72" s="13" t="s">
        <v>850</v>
      </c>
      <c r="X72" s="23" t="s">
        <v>94</v>
      </c>
      <c r="Y72" s="13" t="n">
        <f aca="false">ROUND(IF(K72="",0,MIN(40,40*K72/1.5))+IF(S72="",0,IF(S72&lt;=7,20,IF(S72&lt;=30,12,IF(S72&lt;=90,5,0))))+IF(Q72="",0,MIN(15,Q72*5))+IF(O72="",0,MIN(15,O72*30))+IF(E72="Criador(a)",10,IF(E72="Especialista que cria conteúdo",6,4)),0)</f>
        <v>53</v>
      </c>
      <c r="Z72" s="13" t="s">
        <v>430</v>
      </c>
      <c r="AA72" s="13"/>
      <c r="AB72" s="13" t="s">
        <v>113</v>
      </c>
      <c r="AC72" s="13"/>
      <c r="AD72" s="13" t="s">
        <v>571</v>
      </c>
      <c r="AE72" s="13" t="s">
        <v>851</v>
      </c>
      <c r="AF72" s="13" t="s">
        <v>852</v>
      </c>
      <c r="AG72" s="24" t="s">
        <v>853</v>
      </c>
      <c r="AH72" s="13" t="s">
        <v>100</v>
      </c>
      <c r="AI72" s="13"/>
    </row>
    <row r="73" customFormat="false" ht="15" hidden="false" customHeight="false" outlineLevel="0" collapsed="false">
      <c r="A73" s="13" t="s">
        <v>36</v>
      </c>
      <c r="B73" s="13" t="s">
        <v>37</v>
      </c>
      <c r="C73" s="13" t="s">
        <v>854</v>
      </c>
      <c r="D73" s="13" t="s">
        <v>855</v>
      </c>
      <c r="E73" s="13" t="s">
        <v>30</v>
      </c>
      <c r="F73" s="13" t="s">
        <v>766</v>
      </c>
      <c r="G73" s="14" t="n">
        <v>3313</v>
      </c>
      <c r="H73" s="13" t="s">
        <v>19</v>
      </c>
      <c r="I73" s="15" t="n">
        <v>0.0063</v>
      </c>
      <c r="J73" s="16" t="n">
        <f aca="false">IFERROR(INDEX('Como ler'!$B$20:$B$24,MATCH(H73,'Como ler'!$A$20:$A$24,0)),"")</f>
        <v>0.025</v>
      </c>
      <c r="K73" s="17" t="n">
        <f aca="false">IF(OR(I73="",J73=""),"",I73/J73)</f>
        <v>0.252</v>
      </c>
      <c r="L73" s="14" t="n">
        <v>43</v>
      </c>
      <c r="M73" s="18" t="n">
        <v>2.6</v>
      </c>
      <c r="N73" s="14" t="n">
        <v>144</v>
      </c>
      <c r="O73" s="17" t="n">
        <f aca="false">IF(OR(N73="",G73=0),"",N73/G73)</f>
        <v>0.0434651373377603</v>
      </c>
      <c r="P73" s="19" t="n">
        <v>0.89</v>
      </c>
      <c r="Q73" s="20" t="n">
        <v>0.7</v>
      </c>
      <c r="R73" s="21" t="n">
        <v>46291</v>
      </c>
      <c r="S73" s="22" t="n">
        <f aca="false">IF(R73="","",'Como ler'!$B$27-R73)</f>
        <v>1</v>
      </c>
      <c r="T73" s="13" t="n">
        <v>0</v>
      </c>
      <c r="U73" s="13"/>
      <c r="V73" s="13" t="s">
        <v>53</v>
      </c>
      <c r="W73" s="13" t="s">
        <v>856</v>
      </c>
      <c r="X73" s="26" t="s">
        <v>129</v>
      </c>
      <c r="Y73" s="13" t="n">
        <f aca="false">ROUND(IF(K73="",0,MIN(40,40*K73/1.5))+IF(S73="",0,IF(S73&lt;=7,20,IF(S73&lt;=30,12,IF(S73&lt;=90,5,0))))+IF(Q73="",0,MIN(15,Q73*5))+IF(O73="",0,MIN(15,O73*30))+IF(E73="Criador(a)",10,IF(E73="Especialista que cria conteúdo",6,4)),0)</f>
        <v>42</v>
      </c>
      <c r="Z73" s="13"/>
      <c r="AA73" s="13"/>
      <c r="AB73" s="13"/>
      <c r="AC73" s="13"/>
      <c r="AD73" s="13" t="s">
        <v>857</v>
      </c>
      <c r="AE73" s="13" t="s">
        <v>858</v>
      </c>
      <c r="AF73" s="13" t="s">
        <v>859</v>
      </c>
      <c r="AG73" s="24" t="s">
        <v>860</v>
      </c>
      <c r="AH73" s="13" t="s">
        <v>100</v>
      </c>
      <c r="AI73" s="13"/>
    </row>
    <row r="74" customFormat="false" ht="15" hidden="false" customHeight="false" outlineLevel="0" collapsed="false">
      <c r="A74" s="13" t="s">
        <v>36</v>
      </c>
      <c r="B74" s="13" t="s">
        <v>37</v>
      </c>
      <c r="C74" s="13" t="s">
        <v>861</v>
      </c>
      <c r="D74" s="13" t="s">
        <v>862</v>
      </c>
      <c r="E74" s="13" t="s">
        <v>30</v>
      </c>
      <c r="F74" s="13" t="s">
        <v>29</v>
      </c>
      <c r="G74" s="14" t="n">
        <v>3283</v>
      </c>
      <c r="H74" s="13" t="s">
        <v>19</v>
      </c>
      <c r="I74" s="15" t="n">
        <v>0.0084</v>
      </c>
      <c r="J74" s="16" t="n">
        <f aca="false">IFERROR(INDEX('Como ler'!$B$20:$B$24,MATCH(H74,'Como ler'!$A$20:$A$24,0)),"")</f>
        <v>0.025</v>
      </c>
      <c r="K74" s="17" t="n">
        <f aca="false">IF(OR(I74="",J74=""),"",I74/J74)</f>
        <v>0.336</v>
      </c>
      <c r="L74" s="14" t="n">
        <v>26</v>
      </c>
      <c r="M74" s="18" t="n">
        <v>5.9</v>
      </c>
      <c r="N74" s="14" t="n">
        <v>316</v>
      </c>
      <c r="O74" s="17" t="n">
        <f aca="false">IF(OR(N74="",G74=0),"",N74/G74)</f>
        <v>0.0962534267438319</v>
      </c>
      <c r="P74" s="19" t="n">
        <v>0.22</v>
      </c>
      <c r="Q74" s="20" t="n">
        <v>14</v>
      </c>
      <c r="R74" s="21" t="n">
        <v>46291</v>
      </c>
      <c r="S74" s="22" t="n">
        <f aca="false">IF(R74="","",'Como ler'!$B$27-R74)</f>
        <v>1</v>
      </c>
      <c r="T74" s="13" t="n">
        <v>1</v>
      </c>
      <c r="U74" s="13"/>
      <c r="V74" s="13" t="s">
        <v>48</v>
      </c>
      <c r="W74" s="13" t="s">
        <v>144</v>
      </c>
      <c r="X74" s="23" t="s">
        <v>94</v>
      </c>
      <c r="Y74" s="13" t="n">
        <f aca="false">ROUND(IF(K74="",0,MIN(40,40*K74/1.5))+IF(S74="",0,IF(S74&lt;=7,20,IF(S74&lt;=30,12,IF(S74&lt;=90,5,0))))+IF(Q74="",0,MIN(15,Q74*5))+IF(O74="",0,MIN(15,O74*30))+IF(E74="Criador(a)",10,IF(E74="Especialista que cria conteúdo",6,4)),0)</f>
        <v>57</v>
      </c>
      <c r="Z74" s="13" t="s">
        <v>159</v>
      </c>
      <c r="AA74" s="13"/>
      <c r="AB74" s="13" t="s">
        <v>113</v>
      </c>
      <c r="AC74" s="13"/>
      <c r="AD74" s="13" t="s">
        <v>863</v>
      </c>
      <c r="AE74" s="13" t="s">
        <v>864</v>
      </c>
      <c r="AF74" s="13" t="s">
        <v>865</v>
      </c>
      <c r="AG74" s="24" t="s">
        <v>866</v>
      </c>
      <c r="AH74" s="13" t="s">
        <v>100</v>
      </c>
      <c r="AI74" s="13"/>
    </row>
    <row r="75" customFormat="false" ht="15" hidden="false" customHeight="false" outlineLevel="0" collapsed="false">
      <c r="A75" s="13" t="s">
        <v>36</v>
      </c>
      <c r="B75" s="13"/>
      <c r="C75" s="13" t="s">
        <v>867</v>
      </c>
      <c r="D75" s="13" t="s">
        <v>868</v>
      </c>
      <c r="E75" s="13" t="s">
        <v>157</v>
      </c>
      <c r="F75" s="13" t="s">
        <v>28</v>
      </c>
      <c r="G75" s="14" t="n">
        <v>3161</v>
      </c>
      <c r="H75" s="13" t="s">
        <v>19</v>
      </c>
      <c r="I75" s="15" t="n">
        <v>0.0092</v>
      </c>
      <c r="J75" s="16" t="n">
        <f aca="false">IFERROR(INDEX('Como ler'!$B$20:$B$24,MATCH(H75,'Como ler'!$A$20:$A$24,0)),"")</f>
        <v>0.025</v>
      </c>
      <c r="K75" s="17" t="n">
        <f aca="false">IF(OR(I75="",J75=""),"",I75/J75)</f>
        <v>0.368</v>
      </c>
      <c r="L75" s="14" t="n">
        <v>29</v>
      </c>
      <c r="M75" s="18" t="n">
        <v>4.6</v>
      </c>
      <c r="N75" s="14" t="n">
        <v>210</v>
      </c>
      <c r="O75" s="17" t="n">
        <f aca="false">IF(OR(N75="",G75=0),"",N75/G75)</f>
        <v>0.0664346725719709</v>
      </c>
      <c r="P75" s="19" t="n">
        <v>0.44</v>
      </c>
      <c r="Q75" s="20" t="n">
        <v>0.9</v>
      </c>
      <c r="R75" s="21" t="n">
        <v>46291</v>
      </c>
      <c r="S75" s="22" t="n">
        <f aca="false">IF(R75="","",'Como ler'!$B$27-R75)</f>
        <v>1</v>
      </c>
      <c r="T75" s="13" t="n">
        <v>0</v>
      </c>
      <c r="U75" s="13"/>
      <c r="V75" s="13" t="s">
        <v>53</v>
      </c>
      <c r="W75" s="13" t="s">
        <v>869</v>
      </c>
      <c r="X75" s="23" t="s">
        <v>94</v>
      </c>
      <c r="Y75" s="13" t="n">
        <f aca="false">ROUND(IF(K75="",0,MIN(40,40*K75/1.5))+IF(S75="",0,IF(S75&lt;=7,20,IF(S75&lt;=30,12,IF(S75&lt;=90,5,0))))+IF(Q75="",0,MIN(15,Q75*5))+IF(O75="",0,MIN(15,O75*30))+IF(E75="Criador(a)",10,IF(E75="Especialista que cria conteúdo",6,4)),0)</f>
        <v>42</v>
      </c>
      <c r="Z75" s="13" t="s">
        <v>95</v>
      </c>
      <c r="AA75" s="13"/>
      <c r="AB75" s="13"/>
      <c r="AC75" s="13"/>
      <c r="AD75" s="13" t="s">
        <v>571</v>
      </c>
      <c r="AE75" s="13" t="s">
        <v>870</v>
      </c>
      <c r="AF75" s="13" t="s">
        <v>871</v>
      </c>
      <c r="AG75" s="24" t="s">
        <v>872</v>
      </c>
      <c r="AH75" s="13" t="s">
        <v>100</v>
      </c>
      <c r="AI75" s="13"/>
    </row>
    <row r="76" customFormat="false" ht="15" hidden="false" customHeight="false" outlineLevel="0" collapsed="false">
      <c r="A76" s="13" t="s">
        <v>36</v>
      </c>
      <c r="B76" s="13"/>
      <c r="C76" s="13" t="s">
        <v>873</v>
      </c>
      <c r="D76" s="13" t="s">
        <v>874</v>
      </c>
      <c r="E76" s="13" t="s">
        <v>157</v>
      </c>
      <c r="F76" s="13" t="s">
        <v>28</v>
      </c>
      <c r="G76" s="14" t="n">
        <v>2918</v>
      </c>
      <c r="H76" s="13" t="s">
        <v>18</v>
      </c>
      <c r="I76" s="15" t="n">
        <v>0.026</v>
      </c>
      <c r="J76" s="16" t="n">
        <f aca="false">IFERROR(INDEX('Como ler'!$B$20:$B$24,MATCH(H76,'Como ler'!$A$20:$A$24,0)),"")</f>
        <v>0.04</v>
      </c>
      <c r="K76" s="17" t="n">
        <f aca="false">IF(OR(I76="",J76=""),"",I76/J76)</f>
        <v>0.65</v>
      </c>
      <c r="L76" s="14" t="n">
        <v>59</v>
      </c>
      <c r="M76" s="18" t="n">
        <v>16.8</v>
      </c>
      <c r="N76" s="14" t="n">
        <v>235</v>
      </c>
      <c r="O76" s="17" t="n">
        <f aca="false">IF(OR(N76="",G76=0),"",N76/G76)</f>
        <v>0.0805346127484578</v>
      </c>
      <c r="P76" s="19" t="n">
        <v>0.78</v>
      </c>
      <c r="Q76" s="20" t="n">
        <v>1.1</v>
      </c>
      <c r="R76" s="21" t="n">
        <v>46269</v>
      </c>
      <c r="S76" s="22" t="n">
        <f aca="false">IF(R76="","",'Como ler'!$B$27-R76)</f>
        <v>23</v>
      </c>
      <c r="T76" s="13" t="n">
        <v>0</v>
      </c>
      <c r="U76" s="13"/>
      <c r="V76" s="13" t="s">
        <v>52</v>
      </c>
      <c r="W76" s="13" t="s">
        <v>875</v>
      </c>
      <c r="X76" s="23" t="s">
        <v>94</v>
      </c>
      <c r="Y76" s="13" t="n">
        <f aca="false">ROUND(IF(K76="",0,MIN(40,40*K76/1.5))+IF(S76="",0,IF(S76&lt;=7,20,IF(S76&lt;=30,12,IF(S76&lt;=90,5,0))))+IF(Q76="",0,MIN(15,Q76*5))+IF(O76="",0,MIN(15,O76*30))+IF(E76="Criador(a)",10,IF(E76="Especialista que cria conteúdo",6,4)),0)</f>
        <v>43</v>
      </c>
      <c r="Z76" s="13" t="s">
        <v>95</v>
      </c>
      <c r="AA76" s="13"/>
      <c r="AB76" s="13" t="s">
        <v>113</v>
      </c>
      <c r="AC76" s="13"/>
      <c r="AD76" s="13" t="s">
        <v>641</v>
      </c>
      <c r="AE76" s="13" t="s">
        <v>524</v>
      </c>
      <c r="AF76" s="13" t="s">
        <v>876</v>
      </c>
      <c r="AG76" s="24" t="s">
        <v>877</v>
      </c>
      <c r="AH76" s="13" t="s">
        <v>100</v>
      </c>
      <c r="AI76" s="13"/>
    </row>
    <row r="77" customFormat="false" ht="15" hidden="false" customHeight="false" outlineLevel="0" collapsed="false">
      <c r="A77" s="13" t="s">
        <v>36</v>
      </c>
      <c r="B77" s="13"/>
      <c r="C77" s="13" t="s">
        <v>878</v>
      </c>
      <c r="D77" s="13" t="s">
        <v>879</v>
      </c>
      <c r="E77" s="13" t="s">
        <v>157</v>
      </c>
      <c r="F77" s="13" t="s">
        <v>28</v>
      </c>
      <c r="G77" s="14" t="n">
        <v>2674</v>
      </c>
      <c r="H77" s="13" t="s">
        <v>18</v>
      </c>
      <c r="I77" s="15" t="n">
        <v>0.0079</v>
      </c>
      <c r="J77" s="16" t="n">
        <f aca="false">IFERROR(INDEX('Como ler'!$B$20:$B$24,MATCH(H77,'Como ler'!$A$20:$A$24,0)),"")</f>
        <v>0.04</v>
      </c>
      <c r="K77" s="17" t="n">
        <f aca="false">IF(OR(I77="",J77=""),"",I77/J77)</f>
        <v>0.1975</v>
      </c>
      <c r="L77" s="14" t="n">
        <v>69</v>
      </c>
      <c r="M77" s="18" t="n">
        <v>14.6</v>
      </c>
      <c r="N77" s="14" t="n">
        <v>328</v>
      </c>
      <c r="O77" s="17" t="n">
        <f aca="false">IF(OR(N77="",G77=0),"",N77/G77)</f>
        <v>0.1226626776365</v>
      </c>
      <c r="P77" s="19" t="n">
        <v>0.89</v>
      </c>
      <c r="Q77" s="20" t="n">
        <v>0.4</v>
      </c>
      <c r="R77" s="21" t="n">
        <v>46271</v>
      </c>
      <c r="S77" s="22" t="n">
        <f aca="false">IF(R77="","",'Como ler'!$B$27-R77)</f>
        <v>21</v>
      </c>
      <c r="T77" s="13" t="n">
        <v>0</v>
      </c>
      <c r="U77" s="13"/>
      <c r="V77" s="13" t="s">
        <v>50</v>
      </c>
      <c r="W77" s="13" t="s">
        <v>880</v>
      </c>
      <c r="X77" s="23" t="s">
        <v>94</v>
      </c>
      <c r="Y77" s="13" t="n">
        <f aca="false">ROUND(IF(K77="",0,MIN(40,40*K77/1.5))+IF(S77="",0,IF(S77&lt;=7,20,IF(S77&lt;=30,12,IF(S77&lt;=90,5,0))))+IF(Q77="",0,MIN(15,Q77*5))+IF(O77="",0,MIN(15,O77*30))+IF(E77="Criador(a)",10,IF(E77="Especialista que cria conteúdo",6,4)),0)</f>
        <v>29</v>
      </c>
      <c r="Z77" s="13" t="s">
        <v>95</v>
      </c>
      <c r="AA77" s="13"/>
      <c r="AB77" s="13" t="s">
        <v>113</v>
      </c>
      <c r="AC77" s="13"/>
      <c r="AD77" s="13" t="s">
        <v>597</v>
      </c>
      <c r="AE77" s="13" t="s">
        <v>881</v>
      </c>
      <c r="AF77" s="13" t="s">
        <v>882</v>
      </c>
      <c r="AG77" s="24" t="s">
        <v>883</v>
      </c>
      <c r="AH77" s="13" t="s">
        <v>100</v>
      </c>
      <c r="AI77" s="13"/>
    </row>
    <row r="78" customFormat="false" ht="15" hidden="false" customHeight="false" outlineLevel="0" collapsed="false">
      <c r="A78" s="13" t="s">
        <v>36</v>
      </c>
      <c r="B78" s="13"/>
      <c r="C78" s="13" t="s">
        <v>884</v>
      </c>
      <c r="D78" s="13" t="s">
        <v>885</v>
      </c>
      <c r="E78" s="13" t="s">
        <v>157</v>
      </c>
      <c r="F78" s="13" t="s">
        <v>28</v>
      </c>
      <c r="G78" s="14" t="n">
        <v>2463</v>
      </c>
      <c r="H78" s="13" t="s">
        <v>18</v>
      </c>
      <c r="I78" s="15" t="n">
        <v>0.0459</v>
      </c>
      <c r="J78" s="16" t="n">
        <f aca="false">IFERROR(INDEX('Como ler'!$B$20:$B$24,MATCH(H78,'Como ler'!$A$20:$A$24,0)),"")</f>
        <v>0.04</v>
      </c>
      <c r="K78" s="17" t="n">
        <f aca="false">IF(OR(I78="",J78=""),"",I78/J78)</f>
        <v>1.1475</v>
      </c>
      <c r="L78" s="14" t="n">
        <v>106</v>
      </c>
      <c r="M78" s="18" t="n">
        <v>9.1</v>
      </c>
      <c r="N78" s="14" t="n">
        <v>829</v>
      </c>
      <c r="O78" s="17" t="n">
        <f aca="false">IF(OR(N78="",G78=0),"",N78/G78)</f>
        <v>0.336581404790905</v>
      </c>
      <c r="P78" s="19" t="n">
        <v>0.11</v>
      </c>
      <c r="Q78" s="20" t="n">
        <v>0.3</v>
      </c>
      <c r="R78" s="21" t="n">
        <v>46286</v>
      </c>
      <c r="S78" s="22" t="n">
        <f aca="false">IF(R78="","",'Como ler'!$B$27-R78)</f>
        <v>6</v>
      </c>
      <c r="T78" s="13" t="n">
        <v>0</v>
      </c>
      <c r="U78" s="13"/>
      <c r="V78" s="13" t="s">
        <v>44</v>
      </c>
      <c r="W78" s="13" t="s">
        <v>886</v>
      </c>
      <c r="X78" s="23" t="s">
        <v>94</v>
      </c>
      <c r="Y78" s="13" t="n">
        <f aca="false">ROUND(IF(K78="",0,MIN(40,40*K78/1.5))+IF(S78="",0,IF(S78&lt;=7,20,IF(S78&lt;=30,12,IF(S78&lt;=90,5,0))))+IF(Q78="",0,MIN(15,Q78*5))+IF(O78="",0,MIN(15,O78*30))+IF(E78="Criador(a)",10,IF(E78="Especialista que cria conteúdo",6,4)),0)</f>
        <v>68</v>
      </c>
      <c r="Z78" s="13"/>
      <c r="AA78" s="13"/>
      <c r="AB78" s="13" t="s">
        <v>113</v>
      </c>
      <c r="AC78" s="13"/>
      <c r="AD78" s="13" t="s">
        <v>887</v>
      </c>
      <c r="AE78" s="13" t="s">
        <v>888</v>
      </c>
      <c r="AF78" s="13" t="s">
        <v>889</v>
      </c>
      <c r="AG78" s="24" t="s">
        <v>890</v>
      </c>
      <c r="AH78" s="13" t="s">
        <v>100</v>
      </c>
      <c r="AI78" s="13"/>
    </row>
    <row r="79" customFormat="false" ht="15" hidden="false" customHeight="false" outlineLevel="0" collapsed="false">
      <c r="A79" s="13" t="s">
        <v>36</v>
      </c>
      <c r="B79" s="13" t="s">
        <v>37</v>
      </c>
      <c r="C79" s="13" t="s">
        <v>891</v>
      </c>
      <c r="D79" s="13" t="s">
        <v>892</v>
      </c>
      <c r="E79" s="13" t="s">
        <v>157</v>
      </c>
      <c r="F79" s="13" t="s">
        <v>29</v>
      </c>
      <c r="G79" s="14" t="n">
        <v>2408</v>
      </c>
      <c r="H79" s="13" t="s">
        <v>18</v>
      </c>
      <c r="I79" s="15" t="n">
        <v>0.0131</v>
      </c>
      <c r="J79" s="16" t="n">
        <f aca="false">IFERROR(INDEX('Como ler'!$B$20:$B$24,MATCH(H79,'Como ler'!$A$20:$A$24,0)),"")</f>
        <v>0.04</v>
      </c>
      <c r="K79" s="17" t="n">
        <f aca="false">IF(OR(I79="",J79=""),"",I79/J79)</f>
        <v>0.3275</v>
      </c>
      <c r="L79" s="14" t="n">
        <v>38</v>
      </c>
      <c r="M79" s="18" t="n">
        <v>3.4</v>
      </c>
      <c r="N79" s="14" t="n">
        <v>210</v>
      </c>
      <c r="O79" s="17" t="n">
        <f aca="false">IF(OR(N79="",G79=0),"",N79/G79)</f>
        <v>0.0872093023255814</v>
      </c>
      <c r="P79" s="19" t="n">
        <v>0.45</v>
      </c>
      <c r="Q79" s="20" t="n">
        <v>1.5</v>
      </c>
      <c r="R79" s="21" t="n">
        <v>46292</v>
      </c>
      <c r="S79" s="22" t="n">
        <f aca="false">IF(R79="","",'Como ler'!$B$27-R79)</f>
        <v>0</v>
      </c>
      <c r="T79" s="13" t="n">
        <v>0</v>
      </c>
      <c r="U79" s="13"/>
      <c r="V79" s="13" t="s">
        <v>45</v>
      </c>
      <c r="W79" s="13" t="s">
        <v>893</v>
      </c>
      <c r="X79" s="26" t="s">
        <v>129</v>
      </c>
      <c r="Y79" s="13" t="n">
        <f aca="false">ROUND(IF(K79="",0,MIN(40,40*K79/1.5))+IF(S79="",0,IF(S79&lt;=7,20,IF(S79&lt;=30,12,IF(S79&lt;=90,5,0))))+IF(Q79="",0,MIN(15,Q79*5))+IF(O79="",0,MIN(15,O79*30))+IF(E79="Criador(a)",10,IF(E79="Especialista que cria conteúdo",6,4)),0)</f>
        <v>45</v>
      </c>
      <c r="Z79" s="13" t="s">
        <v>622</v>
      </c>
      <c r="AA79" s="13"/>
      <c r="AB79" s="13" t="s">
        <v>113</v>
      </c>
      <c r="AC79" s="13"/>
      <c r="AD79" s="13" t="s">
        <v>894</v>
      </c>
      <c r="AE79" s="13" t="s">
        <v>895</v>
      </c>
      <c r="AF79" s="13" t="s">
        <v>896</v>
      </c>
      <c r="AG79" s="24" t="s">
        <v>897</v>
      </c>
      <c r="AH79" s="13" t="s">
        <v>100</v>
      </c>
      <c r="AI79" s="13"/>
    </row>
    <row r="80" customFormat="false" ht="15" hidden="false" customHeight="false" outlineLevel="0" collapsed="false">
      <c r="A80" s="13" t="s">
        <v>36</v>
      </c>
      <c r="B80" s="13"/>
      <c r="C80" s="13" t="s">
        <v>898</v>
      </c>
      <c r="D80" s="13" t="s">
        <v>899</v>
      </c>
      <c r="E80" s="13" t="s">
        <v>157</v>
      </c>
      <c r="F80" s="13" t="s">
        <v>28</v>
      </c>
      <c r="G80" s="14" t="n">
        <v>2360</v>
      </c>
      <c r="H80" s="13" t="s">
        <v>18</v>
      </c>
      <c r="I80" s="15" t="n">
        <v>0.0292</v>
      </c>
      <c r="J80" s="16" t="n">
        <f aca="false">IFERROR(INDEX('Como ler'!$B$20:$B$24,MATCH(H80,'Como ler'!$A$20:$A$24,0)),"")</f>
        <v>0.04</v>
      </c>
      <c r="K80" s="17" t="n">
        <f aca="false">IF(OR(I80="",J80=""),"",I80/J80)</f>
        <v>0.73</v>
      </c>
      <c r="L80" s="14" t="n">
        <v>55</v>
      </c>
      <c r="M80" s="18" t="n">
        <v>24</v>
      </c>
      <c r="N80" s="14" t="n">
        <v>835</v>
      </c>
      <c r="O80" s="17" t="n">
        <f aca="false">IF(OR(N80="",G80=0),"",N80/G80)</f>
        <v>0.353813559322034</v>
      </c>
      <c r="P80" s="19" t="n">
        <v>0.11</v>
      </c>
      <c r="Q80" s="20" t="n">
        <v>0.3</v>
      </c>
      <c r="R80" s="21" t="n">
        <v>46288</v>
      </c>
      <c r="S80" s="22" t="n">
        <f aca="false">IF(R80="","",'Como ler'!$B$27-R80)</f>
        <v>4</v>
      </c>
      <c r="T80" s="13" t="n">
        <v>0</v>
      </c>
      <c r="U80" s="13"/>
      <c r="V80" s="13" t="s">
        <v>53</v>
      </c>
      <c r="W80" s="13" t="s">
        <v>900</v>
      </c>
      <c r="X80" s="23" t="s">
        <v>94</v>
      </c>
      <c r="Y80" s="13" t="n">
        <f aca="false">ROUND(IF(K80="",0,MIN(40,40*K80/1.5))+IF(S80="",0,IF(S80&lt;=7,20,IF(S80&lt;=30,12,IF(S80&lt;=90,5,0))))+IF(Q80="",0,MIN(15,Q80*5))+IF(O80="",0,MIN(15,O80*30))+IF(E80="Criador(a)",10,IF(E80="Especialista que cria conteúdo",6,4)),0)</f>
        <v>58</v>
      </c>
      <c r="Z80" s="13"/>
      <c r="AA80" s="13"/>
      <c r="AB80" s="13"/>
      <c r="AC80" s="13"/>
      <c r="AD80" s="13" t="s">
        <v>641</v>
      </c>
      <c r="AE80" s="13" t="s">
        <v>642</v>
      </c>
      <c r="AF80" s="13" t="s">
        <v>901</v>
      </c>
      <c r="AG80" s="24" t="s">
        <v>902</v>
      </c>
      <c r="AH80" s="13" t="s">
        <v>100</v>
      </c>
      <c r="AI80" s="13"/>
    </row>
    <row r="81" customFormat="false" ht="15" hidden="false" customHeight="false" outlineLevel="0" collapsed="false">
      <c r="A81" s="13" t="s">
        <v>36</v>
      </c>
      <c r="B81" s="13"/>
      <c r="C81" s="13" t="s">
        <v>903</v>
      </c>
      <c r="D81" s="13" t="s">
        <v>904</v>
      </c>
      <c r="E81" s="13" t="s">
        <v>30</v>
      </c>
      <c r="F81" s="13" t="s">
        <v>29</v>
      </c>
      <c r="G81" s="14" t="n">
        <v>2174</v>
      </c>
      <c r="H81" s="13" t="s">
        <v>18</v>
      </c>
      <c r="I81" s="15" t="n">
        <v>0.0037</v>
      </c>
      <c r="J81" s="16" t="n">
        <f aca="false">IFERROR(INDEX('Como ler'!$B$20:$B$24,MATCH(H81,'Como ler'!$A$20:$A$24,0)),"")</f>
        <v>0.04</v>
      </c>
      <c r="K81" s="17" t="n">
        <f aca="false">IF(OR(I81="",J81=""),"",I81/J81)</f>
        <v>0.0925</v>
      </c>
      <c r="L81" s="14" t="n">
        <v>6</v>
      </c>
      <c r="M81" s="18" t="n">
        <v>1.1</v>
      </c>
      <c r="N81" s="14" t="n">
        <v>30</v>
      </c>
      <c r="O81" s="17" t="n">
        <f aca="false">IF(OR(N81="",G81=0),"",N81/G81)</f>
        <v>0.0137994480220791</v>
      </c>
      <c r="P81" s="19" t="n">
        <v>0.75</v>
      </c>
      <c r="Q81" s="20" t="n">
        <v>1.4</v>
      </c>
      <c r="R81" s="21" t="n">
        <v>46277</v>
      </c>
      <c r="S81" s="22" t="n">
        <f aca="false">IF(R81="","",'Como ler'!$B$27-R81)</f>
        <v>15</v>
      </c>
      <c r="T81" s="13" t="n">
        <v>0</v>
      </c>
      <c r="U81" s="13"/>
      <c r="V81" s="13" t="s">
        <v>42</v>
      </c>
      <c r="W81" s="13" t="s">
        <v>905</v>
      </c>
      <c r="X81" s="26" t="s">
        <v>129</v>
      </c>
      <c r="Y81" s="13" t="n">
        <f aca="false">ROUND(IF(K81="",0,MIN(40,40*K81/1.5))+IF(S81="",0,IF(S81&lt;=7,20,IF(S81&lt;=30,12,IF(S81&lt;=90,5,0))))+IF(Q81="",0,MIN(15,Q81*5))+IF(O81="",0,MIN(15,O81*30))+IF(E81="Criador(a)",10,IF(E81="Especialista que cria conteúdo",6,4)),0)</f>
        <v>32</v>
      </c>
      <c r="Z81" s="13" t="s">
        <v>622</v>
      </c>
      <c r="AA81" s="13"/>
      <c r="AB81" s="13"/>
      <c r="AC81" s="13"/>
      <c r="AD81" s="13" t="s">
        <v>493</v>
      </c>
      <c r="AE81" s="13"/>
      <c r="AF81" s="13" t="s">
        <v>906</v>
      </c>
      <c r="AG81" s="24" t="s">
        <v>907</v>
      </c>
      <c r="AH81" s="13" t="s">
        <v>100</v>
      </c>
      <c r="AI81" s="13"/>
    </row>
    <row r="82" customFormat="false" ht="15" hidden="false" customHeight="false" outlineLevel="0" collapsed="false">
      <c r="A82" s="13" t="s">
        <v>36</v>
      </c>
      <c r="B82" s="13"/>
      <c r="C82" s="13" t="s">
        <v>908</v>
      </c>
      <c r="D82" s="13" t="s">
        <v>909</v>
      </c>
      <c r="E82" s="13" t="s">
        <v>200</v>
      </c>
      <c r="F82" s="13" t="s">
        <v>201</v>
      </c>
      <c r="G82" s="14" t="n">
        <v>2028</v>
      </c>
      <c r="H82" s="13" t="s">
        <v>18</v>
      </c>
      <c r="I82" s="15" t="n">
        <v>0.0049</v>
      </c>
      <c r="J82" s="16" t="n">
        <f aca="false">IFERROR(INDEX('Como ler'!$B$20:$B$24,MATCH(H82,'Como ler'!$A$20:$A$24,0)),"")</f>
        <v>0.04</v>
      </c>
      <c r="K82" s="17" t="n">
        <f aca="false">IF(OR(I82="",J82=""),"",I82/J82)</f>
        <v>0.1225</v>
      </c>
      <c r="L82" s="14" t="n">
        <v>9</v>
      </c>
      <c r="M82" s="18" t="n">
        <v>1.2</v>
      </c>
      <c r="N82" s="14" t="n">
        <v>52</v>
      </c>
      <c r="O82" s="17" t="n">
        <f aca="false">IF(OR(N82="",G82=0),"",N82/G82)</f>
        <v>0.0256410256410256</v>
      </c>
      <c r="P82" s="19" t="n">
        <v>1</v>
      </c>
      <c r="Q82" s="20" t="n">
        <v>1.7</v>
      </c>
      <c r="R82" s="21" t="n">
        <v>45916</v>
      </c>
      <c r="S82" s="22" t="n">
        <f aca="false">IF(R82="","",'Como ler'!$B$27-R82)</f>
        <v>376</v>
      </c>
      <c r="T82" s="13" t="n">
        <v>0</v>
      </c>
      <c r="U82" s="13"/>
      <c r="V82" s="13" t="s">
        <v>57</v>
      </c>
      <c r="W82" s="13" t="s">
        <v>57</v>
      </c>
      <c r="X82" s="25" t="s">
        <v>104</v>
      </c>
      <c r="Y82" s="13" t="n">
        <f aca="false">ROUND(IF(K82="",0,MIN(40,40*K82/1.5))+IF(S82="",0,IF(S82&lt;=7,20,IF(S82&lt;=30,12,IF(S82&lt;=90,5,0))))+IF(Q82="",0,MIN(15,Q82*5))+IF(O82="",0,MIN(15,O82*30))+IF(E82="Criador(a)",10,IF(E82="Especialista que cria conteúdo",6,4)),0)</f>
        <v>17</v>
      </c>
      <c r="Z82" s="13" t="s">
        <v>622</v>
      </c>
      <c r="AA82" s="13"/>
      <c r="AB82" s="13"/>
      <c r="AC82" s="13"/>
      <c r="AD82" s="13" t="s">
        <v>558</v>
      </c>
      <c r="AE82" s="13" t="s">
        <v>910</v>
      </c>
      <c r="AF82" s="13"/>
      <c r="AG82" s="24" t="s">
        <v>911</v>
      </c>
      <c r="AH82" s="13" t="s">
        <v>100</v>
      </c>
      <c r="AI82" s="13"/>
    </row>
    <row r="83" customFormat="false" ht="15" hidden="false" customHeight="false" outlineLevel="0" collapsed="false">
      <c r="A83" s="13" t="s">
        <v>36</v>
      </c>
      <c r="B83" s="13"/>
      <c r="C83" s="13" t="s">
        <v>912</v>
      </c>
      <c r="D83" s="13" t="s">
        <v>913</v>
      </c>
      <c r="E83" s="13" t="s">
        <v>30</v>
      </c>
      <c r="F83" s="13" t="s">
        <v>28</v>
      </c>
      <c r="G83" s="14" t="n">
        <v>1968</v>
      </c>
      <c r="H83" s="13" t="s">
        <v>18</v>
      </c>
      <c r="I83" s="15" t="n">
        <v>0.0183</v>
      </c>
      <c r="J83" s="16" t="n">
        <f aca="false">IFERROR(INDEX('Como ler'!$B$20:$B$24,MATCH(H83,'Como ler'!$A$20:$A$24,0)),"")</f>
        <v>0.04</v>
      </c>
      <c r="K83" s="17" t="n">
        <f aca="false">IF(OR(I83="",J83=""),"",I83/J83)</f>
        <v>0.4575</v>
      </c>
      <c r="L83" s="14" t="n">
        <v>28</v>
      </c>
      <c r="M83" s="18" t="n">
        <v>7.9</v>
      </c>
      <c r="N83" s="14" t="n">
        <v>193</v>
      </c>
      <c r="O83" s="17" t="n">
        <f aca="false">IF(OR(N83="",G83=0),"",N83/G83)</f>
        <v>0.0980691056910569</v>
      </c>
      <c r="P83" s="19" t="n">
        <v>0.42</v>
      </c>
      <c r="Q83" s="20" t="n">
        <v>1.3</v>
      </c>
      <c r="R83" s="21" t="n">
        <v>46291</v>
      </c>
      <c r="S83" s="22" t="n">
        <f aca="false">IF(R83="","",'Como ler'!$B$27-R83)</f>
        <v>1</v>
      </c>
      <c r="T83" s="13" t="n">
        <v>0</v>
      </c>
      <c r="U83" s="13"/>
      <c r="V83" s="13" t="s">
        <v>52</v>
      </c>
      <c r="W83" s="13" t="s">
        <v>914</v>
      </c>
      <c r="X83" s="23" t="s">
        <v>94</v>
      </c>
      <c r="Y83" s="13" t="n">
        <f aca="false">ROUND(IF(K83="",0,MIN(40,40*K83/1.5))+IF(S83="",0,IF(S83&lt;=7,20,IF(S83&lt;=30,12,IF(S83&lt;=90,5,0))))+IF(Q83="",0,MIN(15,Q83*5))+IF(O83="",0,MIN(15,O83*30))+IF(E83="Criador(a)",10,IF(E83="Especialista que cria conteúdo",6,4)),0)</f>
        <v>52</v>
      </c>
      <c r="Z83" s="13"/>
      <c r="AA83" s="13"/>
      <c r="AB83" s="13" t="s">
        <v>113</v>
      </c>
      <c r="AC83" s="13"/>
      <c r="AD83" s="13" t="s">
        <v>578</v>
      </c>
      <c r="AE83" s="13" t="s">
        <v>915</v>
      </c>
      <c r="AF83" s="13" t="s">
        <v>916</v>
      </c>
      <c r="AG83" s="24" t="s">
        <v>917</v>
      </c>
      <c r="AH83" s="13" t="s">
        <v>100</v>
      </c>
      <c r="AI83" s="13"/>
    </row>
    <row r="84" customFormat="false" ht="15" hidden="false" customHeight="false" outlineLevel="0" collapsed="false">
      <c r="A84" s="13" t="s">
        <v>36</v>
      </c>
      <c r="B84" s="13"/>
      <c r="C84" s="13" t="s">
        <v>918</v>
      </c>
      <c r="D84" s="13" t="s">
        <v>919</v>
      </c>
      <c r="E84" s="13" t="s">
        <v>30</v>
      </c>
      <c r="F84" s="13" t="s">
        <v>28</v>
      </c>
      <c r="G84" s="14" t="n">
        <v>1774</v>
      </c>
      <c r="H84" s="13" t="s">
        <v>18</v>
      </c>
      <c r="I84" s="15" t="n">
        <v>0.0293</v>
      </c>
      <c r="J84" s="16" t="n">
        <f aca="false">IFERROR(INDEX('Como ler'!$B$20:$B$24,MATCH(H84,'Como ler'!$A$20:$A$24,0)),"")</f>
        <v>0.04</v>
      </c>
      <c r="K84" s="17" t="n">
        <f aca="false">IF(OR(I84="",J84=""),"",I84/J84)</f>
        <v>0.7325</v>
      </c>
      <c r="L84" s="14" t="n">
        <v>48</v>
      </c>
      <c r="M84" s="18" t="n">
        <v>5.8</v>
      </c>
      <c r="N84" s="14" t="n">
        <v>258</v>
      </c>
      <c r="O84" s="17" t="n">
        <f aca="false">IF(OR(N84="",G84=0),"",N84/G84)</f>
        <v>0.14543404735062</v>
      </c>
      <c r="P84" s="19" t="n">
        <v>0.45</v>
      </c>
      <c r="Q84" s="20" t="n">
        <v>0.4</v>
      </c>
      <c r="R84" s="21" t="n">
        <v>46290</v>
      </c>
      <c r="S84" s="22" t="n">
        <f aca="false">IF(R84="","",'Como ler'!$B$27-R84)</f>
        <v>2</v>
      </c>
      <c r="T84" s="13" t="n">
        <v>0</v>
      </c>
      <c r="U84" s="13"/>
      <c r="V84" s="13" t="s">
        <v>44</v>
      </c>
      <c r="W84" s="13" t="s">
        <v>920</v>
      </c>
      <c r="X84" s="23" t="s">
        <v>94</v>
      </c>
      <c r="Y84" s="13" t="n">
        <f aca="false">ROUND(IF(K84="",0,MIN(40,40*K84/1.5))+IF(S84="",0,IF(S84&lt;=7,20,IF(S84&lt;=30,12,IF(S84&lt;=90,5,0))))+IF(Q84="",0,MIN(15,Q84*5))+IF(O84="",0,MIN(15,O84*30))+IF(E84="Criador(a)",10,IF(E84="Especialista que cria conteúdo",6,4)),0)</f>
        <v>56</v>
      </c>
      <c r="Z84" s="13" t="s">
        <v>95</v>
      </c>
      <c r="AA84" s="13"/>
      <c r="AB84" s="13"/>
      <c r="AC84" s="13"/>
      <c r="AD84" s="13" t="s">
        <v>523</v>
      </c>
      <c r="AE84" s="13" t="s">
        <v>921</v>
      </c>
      <c r="AF84" s="13" t="s">
        <v>922</v>
      </c>
      <c r="AG84" s="24" t="s">
        <v>923</v>
      </c>
      <c r="AH84" s="13" t="s">
        <v>100</v>
      </c>
      <c r="AI84" s="13"/>
    </row>
    <row r="85" customFormat="false" ht="15" hidden="false" customHeight="false" outlineLevel="0" collapsed="false">
      <c r="A85" s="13" t="s">
        <v>36</v>
      </c>
      <c r="B85" s="13" t="s">
        <v>35</v>
      </c>
      <c r="C85" s="13" t="s">
        <v>924</v>
      </c>
      <c r="D85" s="13" t="s">
        <v>925</v>
      </c>
      <c r="E85" s="13" t="s">
        <v>157</v>
      </c>
      <c r="F85" s="13" t="s">
        <v>28</v>
      </c>
      <c r="G85" s="14" t="n">
        <v>1697</v>
      </c>
      <c r="H85" s="13" t="s">
        <v>18</v>
      </c>
      <c r="I85" s="15" t="n">
        <v>0.051</v>
      </c>
      <c r="J85" s="16" t="n">
        <f aca="false">IFERROR(INDEX('Como ler'!$B$20:$B$24,MATCH(H85,'Como ler'!$A$20:$A$24,0)),"")</f>
        <v>0.04</v>
      </c>
      <c r="K85" s="17" t="n">
        <f aca="false">IF(OR(I85="",J85=""),"",I85/J85)</f>
        <v>1.275</v>
      </c>
      <c r="L85" s="14" t="n">
        <v>83</v>
      </c>
      <c r="M85" s="18" t="n">
        <v>10.2</v>
      </c>
      <c r="N85" s="14" t="n">
        <v>800</v>
      </c>
      <c r="O85" s="17" t="n">
        <f aca="false">IF(OR(N85="",G85=0),"",N85/G85)</f>
        <v>0.47142015321155</v>
      </c>
      <c r="P85" s="19" t="n">
        <v>0.22</v>
      </c>
      <c r="Q85" s="20" t="n">
        <v>0.1</v>
      </c>
      <c r="R85" s="21" t="n">
        <v>46279</v>
      </c>
      <c r="S85" s="22" t="n">
        <f aca="false">IF(R85="","",'Como ler'!$B$27-R85)</f>
        <v>13</v>
      </c>
      <c r="T85" s="13" t="n">
        <v>0</v>
      </c>
      <c r="U85" s="13"/>
      <c r="V85" s="13" t="s">
        <v>45</v>
      </c>
      <c r="W85" s="13" t="s">
        <v>45</v>
      </c>
      <c r="X85" s="25" t="s">
        <v>104</v>
      </c>
      <c r="Y85" s="13" t="n">
        <f aca="false">ROUND(IF(K85="",0,MIN(40,40*K85/1.5))+IF(S85="",0,IF(S85&lt;=7,20,IF(S85&lt;=30,12,IF(S85&lt;=90,5,0))))+IF(Q85="",0,MIN(15,Q85*5))+IF(O85="",0,MIN(15,O85*30))+IF(E85="Criador(a)",10,IF(E85="Especialista que cria conteúdo",6,4)),0)</f>
        <v>67</v>
      </c>
      <c r="Z85" s="13" t="s">
        <v>926</v>
      </c>
      <c r="AA85" s="13"/>
      <c r="AB85" s="13" t="s">
        <v>113</v>
      </c>
      <c r="AC85" s="13" t="s">
        <v>114</v>
      </c>
      <c r="AD85" s="13" t="s">
        <v>844</v>
      </c>
      <c r="AE85" s="13" t="s">
        <v>927</v>
      </c>
      <c r="AF85" s="13" t="s">
        <v>928</v>
      </c>
      <c r="AG85" s="24" t="s">
        <v>929</v>
      </c>
      <c r="AH85" s="13" t="s">
        <v>100</v>
      </c>
      <c r="AI85" s="13"/>
    </row>
    <row r="86" customFormat="false" ht="15" hidden="false" customHeight="false" outlineLevel="0" collapsed="false">
      <c r="A86" s="13" t="s">
        <v>36</v>
      </c>
      <c r="B86" s="13"/>
      <c r="C86" s="13" t="s">
        <v>930</v>
      </c>
      <c r="D86" s="13" t="s">
        <v>931</v>
      </c>
      <c r="E86" s="13" t="s">
        <v>30</v>
      </c>
      <c r="F86" s="13" t="s">
        <v>28</v>
      </c>
      <c r="G86" s="14" t="n">
        <v>1597</v>
      </c>
      <c r="H86" s="13" t="s">
        <v>18</v>
      </c>
      <c r="I86" s="15" t="n">
        <v>0.067</v>
      </c>
      <c r="J86" s="16" t="n">
        <f aca="false">IFERROR(INDEX('Como ler'!$B$20:$B$24,MATCH(H86,'Como ler'!$A$20:$A$24,0)),"")</f>
        <v>0.04</v>
      </c>
      <c r="K86" s="17" t="n">
        <f aca="false">IF(OR(I86="",J86=""),"",I86/J86)</f>
        <v>1.675</v>
      </c>
      <c r="L86" s="14" t="n">
        <v>169</v>
      </c>
      <c r="M86" s="18" t="n">
        <v>14.1</v>
      </c>
      <c r="N86" s="14" t="n">
        <v>1246</v>
      </c>
      <c r="O86" s="17" t="n">
        <f aca="false">IF(OR(N86="",G86=0),"",N86/G86)</f>
        <v>0.780212899185974</v>
      </c>
      <c r="P86" s="19" t="n">
        <v>0.27</v>
      </c>
      <c r="Q86" s="20" t="n">
        <v>0.2</v>
      </c>
      <c r="R86" s="21" t="n">
        <v>46289</v>
      </c>
      <c r="S86" s="22" t="n">
        <f aca="false">IF(R86="","",'Como ler'!$B$27-R86)</f>
        <v>3</v>
      </c>
      <c r="T86" s="13" t="n">
        <v>0</v>
      </c>
      <c r="U86" s="13"/>
      <c r="V86" s="13" t="s">
        <v>52</v>
      </c>
      <c r="W86" s="13" t="s">
        <v>932</v>
      </c>
      <c r="X86" s="23" t="s">
        <v>94</v>
      </c>
      <c r="Y86" s="13" t="n">
        <f aca="false">ROUND(IF(K86="",0,MIN(40,40*K86/1.5))+IF(S86="",0,IF(S86&lt;=7,20,IF(S86&lt;=30,12,IF(S86&lt;=90,5,0))))+IF(Q86="",0,MIN(15,Q86*5))+IF(O86="",0,MIN(15,O86*30))+IF(E86="Criador(a)",10,IF(E86="Especialista que cria conteúdo",6,4)),0)</f>
        <v>86</v>
      </c>
      <c r="Z86" s="13"/>
      <c r="AA86" s="13"/>
      <c r="AB86" s="13"/>
      <c r="AC86" s="13"/>
      <c r="AD86" s="13" t="s">
        <v>578</v>
      </c>
      <c r="AE86" s="13" t="s">
        <v>933</v>
      </c>
      <c r="AF86" s="13" t="s">
        <v>934</v>
      </c>
      <c r="AG86" s="24" t="s">
        <v>935</v>
      </c>
      <c r="AH86" s="13" t="s">
        <v>100</v>
      </c>
      <c r="AI86" s="13"/>
    </row>
    <row r="87" customFormat="false" ht="15" hidden="false" customHeight="false" outlineLevel="0" collapsed="false">
      <c r="A87" s="13" t="s">
        <v>36</v>
      </c>
      <c r="B87" s="13"/>
      <c r="C87" s="13" t="s">
        <v>936</v>
      </c>
      <c r="D87" s="13" t="s">
        <v>937</v>
      </c>
      <c r="E87" s="13" t="s">
        <v>157</v>
      </c>
      <c r="F87" s="13" t="s">
        <v>28</v>
      </c>
      <c r="G87" s="14" t="n">
        <v>1511</v>
      </c>
      <c r="H87" s="13" t="s">
        <v>18</v>
      </c>
      <c r="I87" s="15" t="n">
        <v>0.0139</v>
      </c>
      <c r="J87" s="16" t="n">
        <f aca="false">IFERROR(INDEX('Como ler'!$B$20:$B$24,MATCH(H87,'Como ler'!$A$20:$A$24,0)),"")</f>
        <v>0.04</v>
      </c>
      <c r="K87" s="17" t="n">
        <f aca="false">IF(OR(I87="",J87=""),"",I87/J87)</f>
        <v>0.3475</v>
      </c>
      <c r="L87" s="14" t="n">
        <v>19</v>
      </c>
      <c r="M87" s="18" t="n">
        <v>1.9</v>
      </c>
      <c r="N87" s="14" t="n">
        <v>78</v>
      </c>
      <c r="O87" s="17" t="n">
        <f aca="false">IF(OR(N87="",G87=0),"",N87/G87)</f>
        <v>0.0516214427531436</v>
      </c>
      <c r="P87" s="19" t="n">
        <v>0.11</v>
      </c>
      <c r="Q87" s="20" t="n">
        <v>0.8</v>
      </c>
      <c r="R87" s="21" t="n">
        <v>46287</v>
      </c>
      <c r="S87" s="22" t="n">
        <f aca="false">IF(R87="","",'Como ler'!$B$27-R87)</f>
        <v>5</v>
      </c>
      <c r="T87" s="13" t="n">
        <v>0</v>
      </c>
      <c r="U87" s="13"/>
      <c r="V87" s="13" t="s">
        <v>45</v>
      </c>
      <c r="W87" s="13" t="s">
        <v>180</v>
      </c>
      <c r="X87" s="26" t="s">
        <v>129</v>
      </c>
      <c r="Y87" s="13" t="n">
        <f aca="false">ROUND(IF(K87="",0,MIN(40,40*K87/1.5))+IF(S87="",0,IF(S87&lt;=7,20,IF(S87&lt;=30,12,IF(S87&lt;=90,5,0))))+IF(Q87="",0,MIN(15,Q87*5))+IF(O87="",0,MIN(15,O87*30))+IF(E87="Criador(a)",10,IF(E87="Especialista que cria conteúdo",6,4)),0)</f>
        <v>41</v>
      </c>
      <c r="Z87" s="13" t="s">
        <v>430</v>
      </c>
      <c r="AA87" s="13"/>
      <c r="AB87" s="13"/>
      <c r="AC87" s="13"/>
      <c r="AD87" s="13" t="s">
        <v>597</v>
      </c>
      <c r="AE87" s="13" t="s">
        <v>938</v>
      </c>
      <c r="AF87" s="13" t="s">
        <v>939</v>
      </c>
      <c r="AG87" s="24" t="s">
        <v>940</v>
      </c>
      <c r="AH87" s="13" t="s">
        <v>100</v>
      </c>
      <c r="AI87" s="13"/>
    </row>
    <row r="88" customFormat="false" ht="15" hidden="false" customHeight="false" outlineLevel="0" collapsed="false">
      <c r="A88" s="13" t="s">
        <v>36</v>
      </c>
      <c r="B88" s="13"/>
      <c r="C88" s="13" t="s">
        <v>941</v>
      </c>
      <c r="D88" s="13" t="s">
        <v>942</v>
      </c>
      <c r="E88" s="13" t="s">
        <v>30</v>
      </c>
      <c r="F88" s="13" t="s">
        <v>28</v>
      </c>
      <c r="G88" s="14" t="n">
        <v>1481</v>
      </c>
      <c r="H88" s="13" t="s">
        <v>18</v>
      </c>
      <c r="I88" s="15" t="n">
        <v>0.0216</v>
      </c>
      <c r="J88" s="16" t="n">
        <f aca="false">IFERROR(INDEX('Como ler'!$B$20:$B$24,MATCH(H88,'Como ler'!$A$20:$A$24,0)),"")</f>
        <v>0.04</v>
      </c>
      <c r="K88" s="17" t="n">
        <f aca="false">IF(OR(I88="",J88=""),"",I88/J88)</f>
        <v>0.54</v>
      </c>
      <c r="L88" s="14" t="n">
        <v>61</v>
      </c>
      <c r="M88" s="18" t="n">
        <v>9</v>
      </c>
      <c r="N88" s="14" t="n">
        <v>166</v>
      </c>
      <c r="O88" s="17" t="n">
        <f aca="false">IF(OR(N88="",G88=0),"",N88/G88)</f>
        <v>0.112086428089129</v>
      </c>
      <c r="P88" s="19" t="n">
        <v>0.36</v>
      </c>
      <c r="Q88" s="20" t="n">
        <v>0.2</v>
      </c>
      <c r="R88" s="21" t="n">
        <v>46279</v>
      </c>
      <c r="S88" s="22" t="n">
        <f aca="false">IF(R88="","",'Como ler'!$B$27-R88)</f>
        <v>13</v>
      </c>
      <c r="T88" s="13" t="n">
        <v>0</v>
      </c>
      <c r="U88" s="13"/>
      <c r="V88" s="13" t="s">
        <v>48</v>
      </c>
      <c r="W88" s="13" t="s">
        <v>943</v>
      </c>
      <c r="X88" s="26" t="s">
        <v>129</v>
      </c>
      <c r="Y88" s="13" t="n">
        <f aca="false">ROUND(IF(K88="",0,MIN(40,40*K88/1.5))+IF(S88="",0,IF(S88&lt;=7,20,IF(S88&lt;=30,12,IF(S88&lt;=90,5,0))))+IF(Q88="",0,MIN(15,Q88*5))+IF(O88="",0,MIN(15,O88*30))+IF(E88="Criador(a)",10,IF(E88="Especialista que cria conteúdo",6,4)),0)</f>
        <v>41</v>
      </c>
      <c r="Z88" s="13" t="s">
        <v>289</v>
      </c>
      <c r="AA88" s="13"/>
      <c r="AB88" s="13" t="s">
        <v>113</v>
      </c>
      <c r="AC88" s="13"/>
      <c r="AD88" s="13" t="s">
        <v>653</v>
      </c>
      <c r="AE88" s="13" t="s">
        <v>944</v>
      </c>
      <c r="AF88" s="13" t="s">
        <v>945</v>
      </c>
      <c r="AG88" s="24" t="s">
        <v>946</v>
      </c>
      <c r="AH88" s="13" t="s">
        <v>100</v>
      </c>
      <c r="AI88" s="13"/>
    </row>
    <row r="89" customFormat="false" ht="15" hidden="false" customHeight="false" outlineLevel="0" collapsed="false">
      <c r="A89" s="13" t="s">
        <v>36</v>
      </c>
      <c r="B89" s="13"/>
      <c r="C89" s="13" t="s">
        <v>947</v>
      </c>
      <c r="D89" s="13" t="s">
        <v>948</v>
      </c>
      <c r="E89" s="13" t="s">
        <v>200</v>
      </c>
      <c r="F89" s="13" t="s">
        <v>201</v>
      </c>
      <c r="G89" s="14" t="n">
        <v>1419</v>
      </c>
      <c r="H89" s="13" t="s">
        <v>18</v>
      </c>
      <c r="I89" s="15" t="n">
        <v>0</v>
      </c>
      <c r="J89" s="16" t="n">
        <f aca="false">IFERROR(INDEX('Como ler'!$B$20:$B$24,MATCH(H89,'Como ler'!$A$20:$A$24,0)),"")</f>
        <v>0.04</v>
      </c>
      <c r="K89" s="17" t="n">
        <f aca="false">IF(OR(I89="",J89=""),"",I89/J89)</f>
        <v>0</v>
      </c>
      <c r="L89" s="14" t="n">
        <v>0</v>
      </c>
      <c r="M89" s="18" t="n">
        <v>0</v>
      </c>
      <c r="N89" s="14"/>
      <c r="O89" s="17" t="str">
        <f aca="false">IF(OR(N89="",G89=0),"",N89/G89)</f>
        <v/>
      </c>
      <c r="P89" s="19" t="n">
        <v>0</v>
      </c>
      <c r="Q89" s="20" t="n">
        <v>11.7</v>
      </c>
      <c r="R89" s="21" t="n">
        <v>46291</v>
      </c>
      <c r="S89" s="22" t="n">
        <f aca="false">IF(R89="","",'Como ler'!$B$27-R89)</f>
        <v>1</v>
      </c>
      <c r="T89" s="13" t="n">
        <v>0</v>
      </c>
      <c r="U89" s="13"/>
      <c r="V89" s="13" t="s">
        <v>47</v>
      </c>
      <c r="W89" s="13" t="s">
        <v>949</v>
      </c>
      <c r="X89" s="25" t="s">
        <v>104</v>
      </c>
      <c r="Y89" s="13" t="n">
        <f aca="false">ROUND(IF(K89="",0,MIN(40,40*K89/1.5))+IF(S89="",0,IF(S89&lt;=7,20,IF(S89&lt;=30,12,IF(S89&lt;=90,5,0))))+IF(Q89="",0,MIN(15,Q89*5))+IF(O89="",0,MIN(15,O89*30))+IF(E89="Criador(a)",10,IF(E89="Especialista que cria conteúdo",6,4)),0)</f>
        <v>39</v>
      </c>
      <c r="Z89" s="13" t="s">
        <v>105</v>
      </c>
      <c r="AA89" s="13"/>
      <c r="AB89" s="13" t="s">
        <v>113</v>
      </c>
      <c r="AC89" s="13"/>
      <c r="AD89" s="13" t="s">
        <v>571</v>
      </c>
      <c r="AE89" s="13" t="s">
        <v>950</v>
      </c>
      <c r="AF89" s="13" t="s">
        <v>951</v>
      </c>
      <c r="AG89" s="24" t="s">
        <v>952</v>
      </c>
      <c r="AH89" s="13" t="s">
        <v>100</v>
      </c>
      <c r="AI89" s="13"/>
    </row>
    <row r="90" customFormat="false" ht="15" hidden="false" customHeight="false" outlineLevel="0" collapsed="false">
      <c r="A90" s="13" t="s">
        <v>36</v>
      </c>
      <c r="B90" s="13" t="s">
        <v>35</v>
      </c>
      <c r="C90" s="13" t="s">
        <v>953</v>
      </c>
      <c r="D90" s="13" t="s">
        <v>954</v>
      </c>
      <c r="E90" s="13" t="s">
        <v>157</v>
      </c>
      <c r="F90" s="13" t="s">
        <v>29</v>
      </c>
      <c r="G90" s="14" t="n">
        <v>1228</v>
      </c>
      <c r="H90" s="13" t="s">
        <v>18</v>
      </c>
      <c r="I90" s="15" t="n">
        <v>0.055</v>
      </c>
      <c r="J90" s="16" t="n">
        <f aca="false">IFERROR(INDEX('Como ler'!$B$20:$B$24,MATCH(H90,'Como ler'!$A$20:$A$24,0)),"")</f>
        <v>0.04</v>
      </c>
      <c r="K90" s="17" t="n">
        <f aca="false">IF(OR(I90="",J90=""),"",I90/J90)</f>
        <v>1.375</v>
      </c>
      <c r="L90" s="14" t="n">
        <v>56</v>
      </c>
      <c r="M90" s="18" t="n">
        <v>10.5</v>
      </c>
      <c r="N90" s="14" t="n">
        <v>179</v>
      </c>
      <c r="O90" s="17" t="n">
        <f aca="false">IF(OR(N90="",G90=0),"",N90/G90)</f>
        <v>0.145765472312704</v>
      </c>
      <c r="P90" s="19" t="n">
        <v>0.25</v>
      </c>
      <c r="Q90" s="20" t="n">
        <v>2.2</v>
      </c>
      <c r="R90" s="21" t="n">
        <v>46272</v>
      </c>
      <c r="S90" s="22" t="n">
        <f aca="false">IF(R90="","",'Como ler'!$B$27-R90)</f>
        <v>20</v>
      </c>
      <c r="T90" s="13" t="n">
        <v>0</v>
      </c>
      <c r="U90" s="13"/>
      <c r="V90" s="13" t="s">
        <v>45</v>
      </c>
      <c r="W90" s="13" t="s">
        <v>955</v>
      </c>
      <c r="X90" s="23" t="s">
        <v>94</v>
      </c>
      <c r="Y90" s="13" t="n">
        <f aca="false">ROUND(IF(K90="",0,MIN(40,40*K90/1.5))+IF(S90="",0,IF(S90&lt;=7,20,IF(S90&lt;=30,12,IF(S90&lt;=90,5,0))))+IF(Q90="",0,MIN(15,Q90*5))+IF(O90="",0,MIN(15,O90*30))+IF(E90="Criador(a)",10,IF(E90="Especialista que cria conteúdo",6,4)),0)</f>
        <v>70</v>
      </c>
      <c r="Z90" s="13" t="s">
        <v>355</v>
      </c>
      <c r="AA90" s="13"/>
      <c r="AB90" s="13"/>
      <c r="AC90" s="13"/>
      <c r="AD90" s="13" t="s">
        <v>956</v>
      </c>
      <c r="AE90" s="13" t="s">
        <v>957</v>
      </c>
      <c r="AF90" s="13" t="s">
        <v>958</v>
      </c>
      <c r="AG90" s="24" t="s">
        <v>959</v>
      </c>
      <c r="AH90" s="13" t="s">
        <v>100</v>
      </c>
      <c r="AI90" s="13"/>
    </row>
    <row r="91" customFormat="false" ht="15" hidden="false" customHeight="false" outlineLevel="0" collapsed="false">
      <c r="A91" s="13" t="s">
        <v>36</v>
      </c>
      <c r="B91" s="13"/>
      <c r="C91" s="13" t="s">
        <v>960</v>
      </c>
      <c r="D91" s="13" t="s">
        <v>961</v>
      </c>
      <c r="E91" s="13" t="s">
        <v>157</v>
      </c>
      <c r="F91" s="13" t="s">
        <v>28</v>
      </c>
      <c r="G91" s="14" t="n">
        <v>1091</v>
      </c>
      <c r="H91" s="13" t="s">
        <v>18</v>
      </c>
      <c r="I91" s="15" t="n">
        <v>0.011</v>
      </c>
      <c r="J91" s="16" t="n">
        <f aca="false">IFERROR(INDEX('Como ler'!$B$20:$B$24,MATCH(H91,'Como ler'!$A$20:$A$24,0)),"")</f>
        <v>0.04</v>
      </c>
      <c r="K91" s="17" t="n">
        <f aca="false">IF(OR(I91="",J91=""),"",I91/J91)</f>
        <v>0.275</v>
      </c>
      <c r="L91" s="14" t="n">
        <v>16</v>
      </c>
      <c r="M91" s="18" t="n">
        <v>2.2</v>
      </c>
      <c r="N91" s="14" t="n">
        <v>121</v>
      </c>
      <c r="O91" s="17" t="n">
        <f aca="false">IF(OR(N91="",G91=0),"",N91/G91)</f>
        <v>0.110907424381302</v>
      </c>
      <c r="P91" s="19" t="n">
        <v>0.08</v>
      </c>
      <c r="Q91" s="20" t="n">
        <v>0.1</v>
      </c>
      <c r="R91" s="21" t="n">
        <v>45933</v>
      </c>
      <c r="S91" s="22" t="n">
        <f aca="false">IF(R91="","",'Como ler'!$B$27-R91)</f>
        <v>359</v>
      </c>
      <c r="T91" s="13" t="n">
        <v>0</v>
      </c>
      <c r="U91" s="13"/>
      <c r="V91" s="13" t="s">
        <v>53</v>
      </c>
      <c r="W91" s="13" t="s">
        <v>962</v>
      </c>
      <c r="X91" s="26" t="s">
        <v>129</v>
      </c>
      <c r="Y91" s="13" t="n">
        <f aca="false">ROUND(IF(K91="",0,MIN(40,40*K91/1.5))+IF(S91="",0,IF(S91&lt;=7,20,IF(S91&lt;=30,12,IF(S91&lt;=90,5,0))))+IF(Q91="",0,MIN(15,Q91*5))+IF(O91="",0,MIN(15,O91*30))+IF(E91="Criador(a)",10,IF(E91="Especialista que cria conteúdo",6,4)),0)</f>
        <v>17</v>
      </c>
      <c r="Z91" s="13" t="s">
        <v>159</v>
      </c>
      <c r="AA91" s="13"/>
      <c r="AB91" s="13" t="s">
        <v>113</v>
      </c>
      <c r="AC91" s="13"/>
      <c r="AD91" s="13" t="s">
        <v>590</v>
      </c>
      <c r="AE91" s="13" t="s">
        <v>591</v>
      </c>
      <c r="AF91" s="13" t="s">
        <v>963</v>
      </c>
      <c r="AG91" s="24" t="s">
        <v>964</v>
      </c>
      <c r="AH91" s="13" t="s">
        <v>100</v>
      </c>
      <c r="AI91" s="13"/>
    </row>
    <row r="92" customFormat="false" ht="15" hidden="false" customHeight="false" outlineLevel="0" collapsed="false">
      <c r="A92" s="13" t="s">
        <v>37</v>
      </c>
      <c r="B92" s="13" t="s">
        <v>36</v>
      </c>
      <c r="C92" s="13" t="s">
        <v>965</v>
      </c>
      <c r="D92" s="13" t="s">
        <v>966</v>
      </c>
      <c r="E92" s="13" t="s">
        <v>157</v>
      </c>
      <c r="F92" s="13" t="s">
        <v>28</v>
      </c>
      <c r="G92" s="14" t="n">
        <v>76860</v>
      </c>
      <c r="H92" s="13" t="s">
        <v>20</v>
      </c>
      <c r="I92" s="15" t="n">
        <v>0.0155</v>
      </c>
      <c r="J92" s="16" t="n">
        <f aca="false">IFERROR(INDEX('Como ler'!$B$20:$B$24,MATCH(H92,'Como ler'!$A$20:$A$24,0)),"")</f>
        <v>0.015</v>
      </c>
      <c r="K92" s="17" t="n">
        <f aca="false">IF(OR(I92="",J92=""),"",I92/J92)</f>
        <v>1.03333333333333</v>
      </c>
      <c r="L92" s="14" t="n">
        <v>1070</v>
      </c>
      <c r="M92" s="18" t="n">
        <v>52.9</v>
      </c>
      <c r="N92" s="14" t="n">
        <v>3928</v>
      </c>
      <c r="O92" s="17" t="n">
        <f aca="false">IF(OR(N92="",G92=0),"",N92/G92)</f>
        <v>0.0511059068436118</v>
      </c>
      <c r="P92" s="19" t="n">
        <v>0.33</v>
      </c>
      <c r="Q92" s="20" t="n">
        <v>1.1</v>
      </c>
      <c r="R92" s="21" t="n">
        <v>46289</v>
      </c>
      <c r="S92" s="22" t="n">
        <f aca="false">IF(R92="","",'Como ler'!$B$27-R92)</f>
        <v>3</v>
      </c>
      <c r="T92" s="13" t="n">
        <v>3</v>
      </c>
      <c r="U92" s="13" t="s">
        <v>967</v>
      </c>
      <c r="V92" s="13" t="s">
        <v>55</v>
      </c>
      <c r="W92" s="13" t="s">
        <v>968</v>
      </c>
      <c r="X92" s="26" t="s">
        <v>129</v>
      </c>
      <c r="Y92" s="13" t="n">
        <f aca="false">ROUND(IF(K92="",0,MIN(40,40*K92/1.5))+IF(S92="",0,IF(S92&lt;=7,20,IF(S92&lt;=30,12,IF(S92&lt;=90,5,0))))+IF(Q92="",0,MIN(15,Q92*5))+IF(O92="",0,MIN(15,O92*30))+IF(E92="Criador(a)",10,IF(E92="Especialista que cria conteúdo",6,4)),0)</f>
        <v>61</v>
      </c>
      <c r="Z92" s="13"/>
      <c r="AA92" s="13"/>
      <c r="AB92" s="13" t="s">
        <v>113</v>
      </c>
      <c r="AC92" s="13"/>
      <c r="AD92" s="13" t="s">
        <v>969</v>
      </c>
      <c r="AE92" s="13" t="s">
        <v>970</v>
      </c>
      <c r="AF92" s="13" t="s">
        <v>971</v>
      </c>
      <c r="AG92" s="24" t="s">
        <v>972</v>
      </c>
      <c r="AH92" s="13" t="s">
        <v>100</v>
      </c>
      <c r="AI92" s="13"/>
    </row>
    <row r="93" customFormat="false" ht="15" hidden="false" customHeight="false" outlineLevel="0" collapsed="false">
      <c r="A93" s="13" t="s">
        <v>37</v>
      </c>
      <c r="B93" s="13" t="s">
        <v>36</v>
      </c>
      <c r="C93" s="13" t="s">
        <v>973</v>
      </c>
      <c r="D93" s="13" t="s">
        <v>974</v>
      </c>
      <c r="E93" s="13" t="s">
        <v>200</v>
      </c>
      <c r="F93" s="13" t="s">
        <v>201</v>
      </c>
      <c r="G93" s="14" t="n">
        <v>32288</v>
      </c>
      <c r="H93" s="13" t="s">
        <v>20</v>
      </c>
      <c r="I93" s="15"/>
      <c r="J93" s="16" t="n">
        <f aca="false">IFERROR(INDEX('Como ler'!$B$20:$B$24,MATCH(H93,'Como ler'!$A$20:$A$24,0)),"")</f>
        <v>0.015</v>
      </c>
      <c r="K93" s="17" t="str">
        <f aca="false">IF(OR(I93="",J93=""),"",I93/J93)</f>
        <v/>
      </c>
      <c r="L93" s="14"/>
      <c r="M93" s="18" t="n">
        <v>0</v>
      </c>
      <c r="N93" s="14"/>
      <c r="O93" s="17" t="str">
        <f aca="false">IF(OR(N93="",G93=0),"",N93/G93)</f>
        <v/>
      </c>
      <c r="P93" s="19" t="n">
        <v>0</v>
      </c>
      <c r="Q93" s="20" t="n">
        <v>0</v>
      </c>
      <c r="R93" s="21" t="n">
        <v>46175</v>
      </c>
      <c r="S93" s="22" t="n">
        <f aca="false">IF(R93="","",'Como ler'!$B$27-R93)</f>
        <v>117</v>
      </c>
      <c r="T93" s="13" t="n">
        <v>0</v>
      </c>
      <c r="U93" s="13"/>
      <c r="V93" s="13" t="s">
        <v>47</v>
      </c>
      <c r="W93" s="13" t="s">
        <v>975</v>
      </c>
      <c r="X93" s="25" t="s">
        <v>104</v>
      </c>
      <c r="Y93" s="13" t="n">
        <f aca="false">ROUND(IF(K93="",0,MIN(40,40*K93/1.5))+IF(S93="",0,IF(S93&lt;=7,20,IF(S93&lt;=30,12,IF(S93&lt;=90,5,0))))+IF(Q93="",0,MIN(15,Q93*5))+IF(O93="",0,MIN(15,O93*30))+IF(E93="Criador(a)",10,IF(E93="Especialista que cria conteúdo",6,4)),0)</f>
        <v>4</v>
      </c>
      <c r="Z93" s="13" t="s">
        <v>159</v>
      </c>
      <c r="AA93" s="13"/>
      <c r="AB93" s="13" t="s">
        <v>113</v>
      </c>
      <c r="AC93" s="13"/>
      <c r="AD93" s="13" t="s">
        <v>976</v>
      </c>
      <c r="AE93" s="13" t="s">
        <v>977</v>
      </c>
      <c r="AF93" s="13" t="s">
        <v>978</v>
      </c>
      <c r="AG93" s="24" t="s">
        <v>979</v>
      </c>
      <c r="AH93" s="13" t="s">
        <v>100</v>
      </c>
      <c r="AI93" s="13" t="s">
        <v>119</v>
      </c>
    </row>
    <row r="94" customFormat="false" ht="15" hidden="false" customHeight="false" outlineLevel="0" collapsed="false">
      <c r="A94" s="13" t="s">
        <v>37</v>
      </c>
      <c r="B94" s="13" t="s">
        <v>36</v>
      </c>
      <c r="C94" s="13" t="s">
        <v>980</v>
      </c>
      <c r="D94" s="13" t="s">
        <v>981</v>
      </c>
      <c r="E94" s="13" t="s">
        <v>30</v>
      </c>
      <c r="F94" s="13" t="s">
        <v>28</v>
      </c>
      <c r="G94" s="14" t="n">
        <v>18101</v>
      </c>
      <c r="H94" s="13" t="s">
        <v>19</v>
      </c>
      <c r="I94" s="15" t="n">
        <v>0.0054</v>
      </c>
      <c r="J94" s="16" t="n">
        <f aca="false">IFERROR(INDEX('Como ler'!$B$20:$B$24,MATCH(H94,'Como ler'!$A$20:$A$24,0)),"")</f>
        <v>0.025</v>
      </c>
      <c r="K94" s="17" t="n">
        <f aca="false">IF(OR(I94="",J94=""),"",I94/J94)</f>
        <v>0.216</v>
      </c>
      <c r="L94" s="14" t="n">
        <v>80</v>
      </c>
      <c r="M94" s="18" t="n">
        <v>14.3</v>
      </c>
      <c r="N94" s="14" t="n">
        <v>903</v>
      </c>
      <c r="O94" s="17" t="n">
        <f aca="false">IF(OR(N94="",G94=0),"",N94/G94)</f>
        <v>0.0498867465885863</v>
      </c>
      <c r="P94" s="19" t="n">
        <v>0.56</v>
      </c>
      <c r="Q94" s="20" t="n">
        <v>14</v>
      </c>
      <c r="R94" s="21" t="n">
        <v>46292</v>
      </c>
      <c r="S94" s="22" t="n">
        <f aca="false">IF(R94="","",'Como ler'!$B$27-R94)</f>
        <v>0</v>
      </c>
      <c r="T94" s="13" t="n">
        <v>0</v>
      </c>
      <c r="U94" s="13"/>
      <c r="V94" s="13" t="s">
        <v>45</v>
      </c>
      <c r="W94" s="13" t="s">
        <v>45</v>
      </c>
      <c r="X94" s="25" t="s">
        <v>104</v>
      </c>
      <c r="Y94" s="13" t="n">
        <f aca="false">ROUND(IF(K94="",0,MIN(40,40*K94/1.5))+IF(S94="",0,IF(S94&lt;=7,20,IF(S94&lt;=30,12,IF(S94&lt;=90,5,0))))+IF(Q94="",0,MIN(15,Q94*5))+IF(O94="",0,MIN(15,O94*30))+IF(E94="Criador(a)",10,IF(E94="Especialista que cria conteúdo",6,4)),0)</f>
        <v>52</v>
      </c>
      <c r="Z94" s="13" t="s">
        <v>105</v>
      </c>
      <c r="AA94" s="13"/>
      <c r="AB94" s="13" t="s">
        <v>113</v>
      </c>
      <c r="AC94" s="13"/>
      <c r="AD94" s="13" t="s">
        <v>982</v>
      </c>
      <c r="AE94" s="13" t="s">
        <v>983</v>
      </c>
      <c r="AF94" s="13" t="s">
        <v>984</v>
      </c>
      <c r="AG94" s="24" t="s">
        <v>985</v>
      </c>
      <c r="AH94" s="13" t="s">
        <v>100</v>
      </c>
      <c r="AI94" s="13"/>
    </row>
    <row r="95" customFormat="false" ht="15" hidden="false" customHeight="false" outlineLevel="0" collapsed="false">
      <c r="A95" s="13" t="s">
        <v>37</v>
      </c>
      <c r="B95" s="13" t="s">
        <v>36</v>
      </c>
      <c r="C95" s="13" t="s">
        <v>993</v>
      </c>
      <c r="D95" s="13" t="s">
        <v>994</v>
      </c>
      <c r="E95" s="13" t="s">
        <v>30</v>
      </c>
      <c r="F95" s="13" t="s">
        <v>28</v>
      </c>
      <c r="G95" s="14" t="n">
        <v>8235</v>
      </c>
      <c r="H95" s="13" t="s">
        <v>19</v>
      </c>
      <c r="I95" s="15" t="n">
        <v>0.0024</v>
      </c>
      <c r="J95" s="16" t="n">
        <f aca="false">IFERROR(INDEX('Como ler'!$B$20:$B$24,MATCH(H95,'Como ler'!$A$20:$A$24,0)),"")</f>
        <v>0.025</v>
      </c>
      <c r="K95" s="17" t="n">
        <f aca="false">IF(OR(I95="",J95=""),"",I95/J95)</f>
        <v>0.096</v>
      </c>
      <c r="L95" s="14" t="n">
        <v>39</v>
      </c>
      <c r="M95" s="18" t="n">
        <v>2.8</v>
      </c>
      <c r="N95" s="14" t="n">
        <v>165</v>
      </c>
      <c r="O95" s="17" t="n">
        <f aca="false">IF(OR(N95="",G95=0),"",N95/G95)</f>
        <v>0.0200364298724954</v>
      </c>
      <c r="P95" s="19" t="n">
        <v>0.75</v>
      </c>
      <c r="Q95" s="20" t="n">
        <v>1.7</v>
      </c>
      <c r="R95" s="21" t="n">
        <v>46292</v>
      </c>
      <c r="S95" s="22" t="n">
        <f aca="false">IF(R95="","",'Como ler'!$B$27-R95)</f>
        <v>0</v>
      </c>
      <c r="T95" s="13" t="n">
        <v>0</v>
      </c>
      <c r="U95" s="13"/>
      <c r="V95" s="13" t="s">
        <v>55</v>
      </c>
      <c r="W95" s="13" t="s">
        <v>55</v>
      </c>
      <c r="X95" s="26" t="s">
        <v>129</v>
      </c>
      <c r="Y95" s="13" t="n">
        <f aca="false">ROUND(IF(K95="",0,MIN(40,40*K95/1.5))+IF(S95="",0,IF(S95&lt;=7,20,IF(S95&lt;=30,12,IF(S95&lt;=90,5,0))))+IF(Q95="",0,MIN(15,Q95*5))+IF(O95="",0,MIN(15,O95*30))+IF(E95="Criador(a)",10,IF(E95="Especialista que cria conteúdo",6,4)),0)</f>
        <v>42</v>
      </c>
      <c r="Z95" s="13" t="s">
        <v>105</v>
      </c>
      <c r="AA95" s="13"/>
      <c r="AB95" s="13" t="s">
        <v>113</v>
      </c>
      <c r="AC95" s="13" t="s">
        <v>181</v>
      </c>
      <c r="AD95" s="13" t="s">
        <v>995</v>
      </c>
      <c r="AE95" s="13" t="s">
        <v>996</v>
      </c>
      <c r="AF95" s="13" t="s">
        <v>997</v>
      </c>
      <c r="AG95" s="24" t="s">
        <v>998</v>
      </c>
      <c r="AH95" s="13" t="s">
        <v>100</v>
      </c>
      <c r="AI95" s="13"/>
    </row>
    <row r="96" customFormat="false" ht="15" hidden="false" customHeight="false" outlineLevel="0" collapsed="false">
      <c r="A96" s="13" t="s">
        <v>37</v>
      </c>
      <c r="B96" s="13" t="s">
        <v>36</v>
      </c>
      <c r="C96" s="13" t="s">
        <v>999</v>
      </c>
      <c r="D96" s="13" t="s">
        <v>1000</v>
      </c>
      <c r="E96" s="13" t="s">
        <v>157</v>
      </c>
      <c r="F96" s="13" t="s">
        <v>28</v>
      </c>
      <c r="G96" s="14" t="n">
        <v>6074</v>
      </c>
      <c r="H96" s="13" t="s">
        <v>19</v>
      </c>
      <c r="I96" s="15" t="n">
        <v>0.0738</v>
      </c>
      <c r="J96" s="16" t="n">
        <f aca="false">IFERROR(INDEX('Como ler'!$B$20:$B$24,MATCH(H96,'Como ler'!$A$20:$A$24,0)),"")</f>
        <v>0.025</v>
      </c>
      <c r="K96" s="17" t="n">
        <f aca="false">IF(OR(I96="",J96=""),"",I96/J96)</f>
        <v>2.952</v>
      </c>
      <c r="L96" s="14" t="n">
        <v>452</v>
      </c>
      <c r="M96" s="18" t="n">
        <v>1.6</v>
      </c>
      <c r="N96" s="14" t="n">
        <v>848</v>
      </c>
      <c r="O96" s="17" t="n">
        <f aca="false">IF(OR(N96="",G96=0),"",N96/G96)</f>
        <v>0.139611458676325</v>
      </c>
      <c r="P96" s="19" t="n">
        <v>0.17</v>
      </c>
      <c r="Q96" s="20" t="n">
        <v>1</v>
      </c>
      <c r="R96" s="21" t="n">
        <v>46289</v>
      </c>
      <c r="S96" s="22" t="n">
        <f aca="false">IF(R96="","",'Como ler'!$B$27-R96)</f>
        <v>3</v>
      </c>
      <c r="T96" s="13" t="n">
        <v>0</v>
      </c>
      <c r="U96" s="13"/>
      <c r="V96" s="13" t="s">
        <v>55</v>
      </c>
      <c r="W96" s="13" t="s">
        <v>55</v>
      </c>
      <c r="X96" s="26" t="s">
        <v>129</v>
      </c>
      <c r="Y96" s="13" t="n">
        <f aca="false">ROUND(IF(K96="",0,MIN(40,40*K96/1.5))+IF(S96="",0,IF(S96&lt;=7,20,IF(S96&lt;=30,12,IF(S96&lt;=90,5,0))))+IF(Q96="",0,MIN(15,Q96*5))+IF(O96="",0,MIN(15,O96*30))+IF(E96="Criador(a)",10,IF(E96="Especialista que cria conteúdo",6,4)),0)</f>
        <v>75</v>
      </c>
      <c r="Z96" s="13"/>
      <c r="AA96" s="13"/>
      <c r="AB96" s="13"/>
      <c r="AC96" s="13"/>
      <c r="AD96" s="13" t="s">
        <v>1001</v>
      </c>
      <c r="AE96" s="13" t="s">
        <v>1002</v>
      </c>
      <c r="AF96" s="13" t="s">
        <v>1003</v>
      </c>
      <c r="AG96" s="24" t="s">
        <v>1004</v>
      </c>
      <c r="AH96" s="13" t="s">
        <v>100</v>
      </c>
      <c r="AI96" s="13"/>
    </row>
    <row r="97" customFormat="false" ht="15" hidden="false" customHeight="false" outlineLevel="0" collapsed="false">
      <c r="A97" s="13" t="s">
        <v>37</v>
      </c>
      <c r="B97" s="13" t="s">
        <v>36</v>
      </c>
      <c r="C97" s="13" t="s">
        <v>1016</v>
      </c>
      <c r="D97" s="13" t="s">
        <v>1017</v>
      </c>
      <c r="E97" s="13" t="s">
        <v>157</v>
      </c>
      <c r="F97" s="13" t="s">
        <v>28</v>
      </c>
      <c r="G97" s="14" t="n">
        <v>2586</v>
      </c>
      <c r="H97" s="13" t="s">
        <v>18</v>
      </c>
      <c r="I97" s="15" t="n">
        <v>0.0046</v>
      </c>
      <c r="J97" s="16" t="n">
        <f aca="false">IFERROR(INDEX('Como ler'!$B$20:$B$24,MATCH(H97,'Como ler'!$A$20:$A$24,0)),"")</f>
        <v>0.04</v>
      </c>
      <c r="K97" s="17" t="n">
        <f aca="false">IF(OR(I97="",J97=""),"",I97/J97)</f>
        <v>0.115</v>
      </c>
      <c r="L97" s="14" t="n">
        <v>29</v>
      </c>
      <c r="M97" s="18" t="n">
        <v>2.4</v>
      </c>
      <c r="N97" s="14" t="n">
        <v>234</v>
      </c>
      <c r="O97" s="17" t="n">
        <f aca="false">IF(OR(N97="",G97=0),"",N97/G97)</f>
        <v>0.0904872389791183</v>
      </c>
      <c r="P97" s="19" t="n">
        <v>0.44</v>
      </c>
      <c r="Q97" s="20" t="n">
        <v>2.1</v>
      </c>
      <c r="R97" s="21" t="n">
        <v>46291</v>
      </c>
      <c r="S97" s="22" t="n">
        <f aca="false">IF(R97="","",'Como ler'!$B$27-R97)</f>
        <v>1</v>
      </c>
      <c r="T97" s="13" t="n">
        <v>0</v>
      </c>
      <c r="U97" s="13"/>
      <c r="V97" s="13" t="s">
        <v>55</v>
      </c>
      <c r="W97" s="13" t="s">
        <v>1018</v>
      </c>
      <c r="X97" s="23" t="s">
        <v>94</v>
      </c>
      <c r="Y97" s="13" t="n">
        <f aca="false">ROUND(IF(K97="",0,MIN(40,40*K97/1.5))+IF(S97="",0,IF(S97&lt;=7,20,IF(S97&lt;=30,12,IF(S97&lt;=90,5,0))))+IF(Q97="",0,MIN(15,Q97*5))+IF(O97="",0,MIN(15,O97*30))+IF(E97="Criador(a)",10,IF(E97="Especialista que cria conteúdo",6,4)),0)</f>
        <v>42</v>
      </c>
      <c r="Z97" s="13" t="s">
        <v>399</v>
      </c>
      <c r="AA97" s="13"/>
      <c r="AB97" s="13" t="s">
        <v>113</v>
      </c>
      <c r="AC97" s="13"/>
      <c r="AD97" s="13" t="s">
        <v>1019</v>
      </c>
      <c r="AE97" s="13" t="s">
        <v>1020</v>
      </c>
      <c r="AF97" s="13" t="s">
        <v>1021</v>
      </c>
      <c r="AG97" s="24" t="s">
        <v>1022</v>
      </c>
      <c r="AH97" s="13" t="s">
        <v>100</v>
      </c>
      <c r="AI97" s="13"/>
    </row>
    <row r="98" customFormat="false" ht="15" hidden="false" customHeight="false" outlineLevel="0" collapsed="false">
      <c r="A98" s="13" t="s">
        <v>38</v>
      </c>
      <c r="B98" s="13" t="s">
        <v>1037</v>
      </c>
      <c r="C98" s="13" t="s">
        <v>1038</v>
      </c>
      <c r="D98" s="13" t="s">
        <v>1039</v>
      </c>
      <c r="E98" s="13" t="s">
        <v>157</v>
      </c>
      <c r="F98" s="13" t="s">
        <v>29</v>
      </c>
      <c r="G98" s="14" t="n">
        <v>85000</v>
      </c>
      <c r="H98" s="13" t="s">
        <v>20</v>
      </c>
      <c r="I98" s="15" t="n">
        <v>0.0028</v>
      </c>
      <c r="J98" s="16" t="n">
        <f aca="false">IFERROR(INDEX('Como ler'!$B$20:$B$24,MATCH(H98,'Como ler'!$A$20:$A$24,0)),"")</f>
        <v>0.015</v>
      </c>
      <c r="K98" s="17" t="n">
        <f aca="false">IF(OR(I98="",J98=""),"",I98/J98)</f>
        <v>0.186666666666667</v>
      </c>
      <c r="L98" s="14" t="n">
        <v>274</v>
      </c>
      <c r="M98" s="18" t="n">
        <v>47.7</v>
      </c>
      <c r="N98" s="14" t="n">
        <v>3374</v>
      </c>
      <c r="O98" s="17" t="n">
        <f aca="false">IF(OR(N98="",G98=0),"",N98/G98)</f>
        <v>0.0396941176470588</v>
      </c>
      <c r="P98" s="19" t="n">
        <v>0.56</v>
      </c>
      <c r="Q98" s="20" t="n">
        <v>2.2</v>
      </c>
      <c r="R98" s="21" t="n">
        <v>46291</v>
      </c>
      <c r="S98" s="22" t="n">
        <f aca="false">IF(R98="","",'Como ler'!$B$27-R98)</f>
        <v>1</v>
      </c>
      <c r="T98" s="13" t="n">
        <v>0</v>
      </c>
      <c r="U98" s="13"/>
      <c r="V98" s="13" t="s">
        <v>49</v>
      </c>
      <c r="W98" s="13" t="s">
        <v>49</v>
      </c>
      <c r="X98" s="25" t="s">
        <v>104</v>
      </c>
      <c r="Y98" s="13" t="n">
        <f aca="false">ROUND(IF(K98="",0,MIN(40,40*K98/1.5))+IF(S98="",0,IF(S98&lt;=7,20,IF(S98&lt;=30,12,IF(S98&lt;=90,5,0))))+IF(Q98="",0,MIN(15,Q98*5))+IF(O98="",0,MIN(15,O98*30))+IF(E98="Criador(a)",10,IF(E98="Especialista que cria conteúdo",6,4)),0)</f>
        <v>43</v>
      </c>
      <c r="Z98" s="13"/>
      <c r="AA98" s="13" t="s">
        <v>113</v>
      </c>
      <c r="AB98" s="13" t="s">
        <v>113</v>
      </c>
      <c r="AC98" s="13" t="s">
        <v>114</v>
      </c>
      <c r="AD98" s="13" t="s">
        <v>1040</v>
      </c>
      <c r="AE98" s="13" t="s">
        <v>1041</v>
      </c>
      <c r="AF98" s="13" t="s">
        <v>1042</v>
      </c>
      <c r="AG98" s="24" t="s">
        <v>1043</v>
      </c>
      <c r="AH98" s="13" t="s">
        <v>100</v>
      </c>
      <c r="AI98" s="13"/>
    </row>
    <row r="99" customFormat="false" ht="15" hidden="false" customHeight="false" outlineLevel="0" collapsed="false">
      <c r="A99" s="13" t="s">
        <v>38</v>
      </c>
      <c r="B99" s="13" t="s">
        <v>36</v>
      </c>
      <c r="C99" s="13" t="s">
        <v>1082</v>
      </c>
      <c r="D99" s="13" t="s">
        <v>1083</v>
      </c>
      <c r="E99" s="13" t="s">
        <v>30</v>
      </c>
      <c r="F99" s="13" t="s">
        <v>28</v>
      </c>
      <c r="G99" s="14" t="n">
        <v>20011</v>
      </c>
      <c r="H99" s="13" t="s">
        <v>19</v>
      </c>
      <c r="I99" s="15" t="n">
        <v>0.0071</v>
      </c>
      <c r="J99" s="16" t="n">
        <f aca="false">IFERROR(INDEX('Como ler'!$B$20:$B$24,MATCH(H99,'Como ler'!$A$20:$A$24,0)),"")</f>
        <v>0.025</v>
      </c>
      <c r="K99" s="17" t="n">
        <f aca="false">IF(OR(I99="",J99=""),"",I99/J99)</f>
        <v>0.284</v>
      </c>
      <c r="L99" s="14" t="n">
        <v>485</v>
      </c>
      <c r="M99" s="18" t="n">
        <v>21.3</v>
      </c>
      <c r="N99" s="14" t="n">
        <v>1381</v>
      </c>
      <c r="O99" s="17" t="n">
        <f aca="false">IF(OR(N99="",G99=0),"",N99/G99)</f>
        <v>0.0690120433761431</v>
      </c>
      <c r="P99" s="19" t="n">
        <v>0.7</v>
      </c>
      <c r="Q99" s="20" t="n">
        <v>1.4</v>
      </c>
      <c r="R99" s="21" t="n">
        <v>46292</v>
      </c>
      <c r="S99" s="22" t="n">
        <f aca="false">IF(R99="","",'Como ler'!$B$27-R99)</f>
        <v>0</v>
      </c>
      <c r="T99" s="13" t="n">
        <v>0</v>
      </c>
      <c r="U99" s="13"/>
      <c r="V99" s="13" t="s">
        <v>55</v>
      </c>
      <c r="W99" s="13" t="s">
        <v>55</v>
      </c>
      <c r="X99" s="26" t="s">
        <v>129</v>
      </c>
      <c r="Y99" s="13" t="n">
        <f aca="false">ROUND(IF(K99="",0,MIN(40,40*K99/1.5))+IF(S99="",0,IF(S99&lt;=7,20,IF(S99&lt;=30,12,IF(S99&lt;=90,5,0))))+IF(Q99="",0,MIN(15,Q99*5))+IF(O99="",0,MIN(15,O99*30))+IF(E99="Criador(a)",10,IF(E99="Especialista que cria conteúdo",6,4)),0)</f>
        <v>47</v>
      </c>
      <c r="Z99" s="13" t="s">
        <v>105</v>
      </c>
      <c r="AA99" s="13"/>
      <c r="AB99" s="13" t="s">
        <v>113</v>
      </c>
      <c r="AC99" s="13"/>
      <c r="AD99" s="13" t="s">
        <v>1084</v>
      </c>
      <c r="AE99" s="13" t="s">
        <v>1085</v>
      </c>
      <c r="AF99" s="13" t="s">
        <v>1086</v>
      </c>
      <c r="AG99" s="24" t="s">
        <v>1087</v>
      </c>
      <c r="AH99" s="13" t="s">
        <v>100</v>
      </c>
      <c r="AI99" s="13"/>
    </row>
    <row r="100" customFormat="false" ht="15" hidden="false" customHeight="false" outlineLevel="0" collapsed="false">
      <c r="A100" s="13" t="s">
        <v>38</v>
      </c>
      <c r="B100" s="13" t="s">
        <v>36</v>
      </c>
      <c r="C100" s="13" t="s">
        <v>1094</v>
      </c>
      <c r="D100" s="13" t="s">
        <v>1095</v>
      </c>
      <c r="E100" s="13" t="s">
        <v>157</v>
      </c>
      <c r="F100" s="13" t="s">
        <v>29</v>
      </c>
      <c r="G100" s="14" t="n">
        <v>10607</v>
      </c>
      <c r="H100" s="13" t="s">
        <v>19</v>
      </c>
      <c r="I100" s="15" t="n">
        <v>0.0017</v>
      </c>
      <c r="J100" s="16" t="n">
        <f aca="false">IFERROR(INDEX('Como ler'!$B$20:$B$24,MATCH(H100,'Como ler'!$A$20:$A$24,0)),"")</f>
        <v>0.025</v>
      </c>
      <c r="K100" s="17" t="n">
        <f aca="false">IF(OR(I100="",J100=""),"",I100/J100)</f>
        <v>0.068</v>
      </c>
      <c r="L100" s="14" t="n">
        <v>22</v>
      </c>
      <c r="M100" s="18" t="n">
        <v>1.4</v>
      </c>
      <c r="N100" s="14" t="n">
        <v>161</v>
      </c>
      <c r="O100" s="17" t="n">
        <f aca="false">IF(OR(N100="",G100=0),"",N100/G100)</f>
        <v>0.0151786556047893</v>
      </c>
      <c r="P100" s="19" t="n">
        <v>0.88</v>
      </c>
      <c r="Q100" s="20" t="n">
        <v>3.3</v>
      </c>
      <c r="R100" s="21" t="n">
        <v>46292</v>
      </c>
      <c r="S100" s="22" t="n">
        <f aca="false">IF(R100="","",'Como ler'!$B$27-R100)</f>
        <v>0</v>
      </c>
      <c r="T100" s="13" t="n">
        <v>0</v>
      </c>
      <c r="U100" s="13"/>
      <c r="V100" s="13" t="s">
        <v>49</v>
      </c>
      <c r="W100" s="13" t="s">
        <v>1096</v>
      </c>
      <c r="X100" s="23" t="s">
        <v>94</v>
      </c>
      <c r="Y100" s="13" t="n">
        <f aca="false">ROUND(IF(K100="",0,MIN(40,40*K100/1.5))+IF(S100="",0,IF(S100&lt;=7,20,IF(S100&lt;=30,12,IF(S100&lt;=90,5,0))))+IF(Q100="",0,MIN(15,Q100*5))+IF(O100="",0,MIN(15,O100*30))+IF(E100="Criador(a)",10,IF(E100="Especialista que cria conteúdo",6,4)),0)</f>
        <v>43</v>
      </c>
      <c r="Z100" s="13" t="s">
        <v>159</v>
      </c>
      <c r="AA100" s="13" t="s">
        <v>113</v>
      </c>
      <c r="AB100" s="13" t="s">
        <v>113</v>
      </c>
      <c r="AC100" s="13"/>
      <c r="AD100" s="13" t="s">
        <v>1097</v>
      </c>
      <c r="AE100" s="13" t="s">
        <v>1098</v>
      </c>
      <c r="AF100" s="13" t="s">
        <v>1099</v>
      </c>
      <c r="AG100" s="24" t="s">
        <v>1100</v>
      </c>
      <c r="AH100" s="13" t="s">
        <v>100</v>
      </c>
      <c r="AI100" s="13"/>
    </row>
    <row r="101" customFormat="false" ht="15" hidden="false" customHeight="false" outlineLevel="0" collapsed="false">
      <c r="A101" s="13" t="s">
        <v>38</v>
      </c>
      <c r="B101" s="13" t="s">
        <v>36</v>
      </c>
      <c r="C101" s="13" t="s">
        <v>1123</v>
      </c>
      <c r="D101" s="13" t="s">
        <v>1124</v>
      </c>
      <c r="E101" s="13" t="s">
        <v>30</v>
      </c>
      <c r="F101" s="13" t="s">
        <v>28</v>
      </c>
      <c r="G101" s="14" t="n">
        <v>5497</v>
      </c>
      <c r="H101" s="13" t="s">
        <v>19</v>
      </c>
      <c r="I101" s="15" t="n">
        <v>0.0095</v>
      </c>
      <c r="J101" s="16" t="n">
        <f aca="false">IFERROR(INDEX('Como ler'!$B$20:$B$24,MATCH(H101,'Como ler'!$A$20:$A$24,0)),"")</f>
        <v>0.025</v>
      </c>
      <c r="K101" s="17" t="n">
        <f aca="false">IF(OR(I101="",J101=""),"",I101/J101)</f>
        <v>0.38</v>
      </c>
      <c r="L101" s="14" t="n">
        <v>48</v>
      </c>
      <c r="M101" s="18" t="n">
        <v>7.2</v>
      </c>
      <c r="N101" s="14" t="n">
        <v>231</v>
      </c>
      <c r="O101" s="17" t="n">
        <f aca="false">IF(OR(N101="",G101=0),"",N101/G101)</f>
        <v>0.0420229215935965</v>
      </c>
      <c r="P101" s="19" t="n">
        <v>0.56</v>
      </c>
      <c r="Q101" s="20" t="n">
        <v>0.2</v>
      </c>
      <c r="R101" s="21" t="n">
        <v>46224</v>
      </c>
      <c r="S101" s="22" t="n">
        <f aca="false">IF(R101="","",'Como ler'!$B$27-R101)</f>
        <v>68</v>
      </c>
      <c r="T101" s="13" t="n">
        <v>0</v>
      </c>
      <c r="U101" s="13"/>
      <c r="V101" s="13" t="s">
        <v>43</v>
      </c>
      <c r="W101" s="13" t="s">
        <v>1125</v>
      </c>
      <c r="X101" s="26" t="s">
        <v>129</v>
      </c>
      <c r="Y101" s="13" t="n">
        <f aca="false">ROUND(IF(K101="",0,MIN(40,40*K101/1.5))+IF(S101="",0,IF(S101&lt;=7,20,IF(S101&lt;=30,12,IF(S101&lt;=90,5,0))))+IF(Q101="",0,MIN(15,Q101*5))+IF(O101="",0,MIN(15,O101*30))+IF(E101="Criador(a)",10,IF(E101="Especialista que cria conteúdo",6,4)),0)</f>
        <v>27</v>
      </c>
      <c r="Z101" s="13" t="s">
        <v>303</v>
      </c>
      <c r="AA101" s="13"/>
      <c r="AB101" s="13"/>
      <c r="AC101" s="13"/>
      <c r="AD101" s="13" t="s">
        <v>1126</v>
      </c>
      <c r="AE101" s="13" t="s">
        <v>1127</v>
      </c>
      <c r="AF101" s="13" t="s">
        <v>1128</v>
      </c>
      <c r="AG101" s="24" t="s">
        <v>1129</v>
      </c>
      <c r="AH101" s="13" t="s">
        <v>100</v>
      </c>
      <c r="AI101" s="13"/>
    </row>
    <row r="102" customFormat="false" ht="15" hidden="false" customHeight="false" outlineLevel="0" collapsed="false">
      <c r="A102" s="13" t="s">
        <v>38</v>
      </c>
      <c r="B102" s="13" t="s">
        <v>1037</v>
      </c>
      <c r="C102" s="13" t="s">
        <v>1136</v>
      </c>
      <c r="D102" s="13" t="s">
        <v>1137</v>
      </c>
      <c r="E102" s="13" t="s">
        <v>30</v>
      </c>
      <c r="F102" s="13" t="s">
        <v>29</v>
      </c>
      <c r="G102" s="14" t="n">
        <v>4945</v>
      </c>
      <c r="H102" s="13" t="s">
        <v>19</v>
      </c>
      <c r="I102" s="15" t="n">
        <v>0.0152</v>
      </c>
      <c r="J102" s="16" t="n">
        <f aca="false">IFERROR(INDEX('Como ler'!$B$20:$B$24,MATCH(H102,'Como ler'!$A$20:$A$24,0)),"")</f>
        <v>0.025</v>
      </c>
      <c r="K102" s="17" t="n">
        <f aca="false">IF(OR(I102="",J102=""),"",I102/J102)</f>
        <v>0.608</v>
      </c>
      <c r="L102" s="14" t="n">
        <v>59</v>
      </c>
      <c r="M102" s="18" t="n">
        <v>15.8</v>
      </c>
      <c r="N102" s="14" t="n">
        <v>394</v>
      </c>
      <c r="O102" s="17" t="n">
        <f aca="false">IF(OR(N102="",G102=0),"",N102/G102)</f>
        <v>0.0796764408493428</v>
      </c>
      <c r="P102" s="19" t="n">
        <v>0.22</v>
      </c>
      <c r="Q102" s="20" t="n">
        <v>0.8</v>
      </c>
      <c r="R102" s="21" t="n">
        <v>46292</v>
      </c>
      <c r="S102" s="22" t="n">
        <f aca="false">IF(R102="","",'Como ler'!$B$27-R102)</f>
        <v>0</v>
      </c>
      <c r="T102" s="13" t="n">
        <v>0</v>
      </c>
      <c r="U102" s="13"/>
      <c r="V102" s="13" t="s">
        <v>45</v>
      </c>
      <c r="W102" s="13" t="s">
        <v>45</v>
      </c>
      <c r="X102" s="25" t="s">
        <v>104</v>
      </c>
      <c r="Y102" s="13" t="n">
        <f aca="false">ROUND(IF(K102="",0,MIN(40,40*K102/1.5))+IF(S102="",0,IF(S102&lt;=7,20,IF(S102&lt;=30,12,IF(S102&lt;=90,5,0))))+IF(Q102="",0,MIN(15,Q102*5))+IF(O102="",0,MIN(15,O102*30))+IF(E102="Criador(a)",10,IF(E102="Especialista que cria conteúdo",6,4)),0)</f>
        <v>53</v>
      </c>
      <c r="Z102" s="13" t="s">
        <v>355</v>
      </c>
      <c r="AA102" s="13" t="s">
        <v>113</v>
      </c>
      <c r="AB102" s="13"/>
      <c r="AC102" s="13"/>
      <c r="AD102" s="13" t="s">
        <v>1138</v>
      </c>
      <c r="AE102" s="13" t="s">
        <v>1139</v>
      </c>
      <c r="AF102" s="13" t="s">
        <v>1140</v>
      </c>
      <c r="AG102" s="24" t="s">
        <v>1141</v>
      </c>
      <c r="AH102" s="13" t="s">
        <v>100</v>
      </c>
      <c r="AI102" s="13"/>
    </row>
    <row r="103" customFormat="false" ht="15" hidden="false" customHeight="false" outlineLevel="0" collapsed="false">
      <c r="A103" s="13" t="s">
        <v>38</v>
      </c>
      <c r="B103" s="13" t="s">
        <v>36</v>
      </c>
      <c r="C103" s="13" t="s">
        <v>1159</v>
      </c>
      <c r="D103" s="13" t="s">
        <v>1160</v>
      </c>
      <c r="E103" s="13" t="s">
        <v>30</v>
      </c>
      <c r="F103" s="13" t="s">
        <v>29</v>
      </c>
      <c r="G103" s="14" t="n">
        <v>2886</v>
      </c>
      <c r="H103" s="13" t="s">
        <v>18</v>
      </c>
      <c r="I103" s="15" t="n">
        <v>0.0073</v>
      </c>
      <c r="J103" s="16" t="n">
        <f aca="false">IFERROR(INDEX('Como ler'!$B$20:$B$24,MATCH(H103,'Como ler'!$A$20:$A$24,0)),"")</f>
        <v>0.04</v>
      </c>
      <c r="K103" s="17" t="n">
        <f aca="false">IF(OR(I103="",J103=""),"",I103/J103)</f>
        <v>0.1825</v>
      </c>
      <c r="L103" s="14" t="n">
        <v>24</v>
      </c>
      <c r="M103" s="18" t="n">
        <v>2.9</v>
      </c>
      <c r="N103" s="14" t="n">
        <v>222</v>
      </c>
      <c r="O103" s="17" t="n">
        <f aca="false">IF(OR(N103="",G103=0),"",N103/G103)</f>
        <v>0.0769230769230769</v>
      </c>
      <c r="P103" s="19" t="n">
        <v>1</v>
      </c>
      <c r="Q103" s="20" t="n">
        <v>14</v>
      </c>
      <c r="R103" s="21" t="n">
        <v>46292</v>
      </c>
      <c r="S103" s="22" t="n">
        <f aca="false">IF(R103="","",'Como ler'!$B$27-R103)</f>
        <v>0</v>
      </c>
      <c r="T103" s="13" t="n">
        <v>0</v>
      </c>
      <c r="U103" s="13"/>
      <c r="V103" s="13" t="s">
        <v>47</v>
      </c>
      <c r="W103" s="13" t="s">
        <v>1161</v>
      </c>
      <c r="X103" s="26" t="s">
        <v>129</v>
      </c>
      <c r="Y103" s="13" t="n">
        <f aca="false">ROUND(IF(K103="",0,MIN(40,40*K103/1.5))+IF(S103="",0,IF(S103&lt;=7,20,IF(S103&lt;=30,12,IF(S103&lt;=90,5,0))))+IF(Q103="",0,MIN(15,Q103*5))+IF(O103="",0,MIN(15,O103*30))+IF(E103="Criador(a)",10,IF(E103="Especialista que cria conteúdo",6,4)),0)</f>
        <v>52</v>
      </c>
      <c r="Z103" s="13" t="s">
        <v>289</v>
      </c>
      <c r="AA103" s="13" t="s">
        <v>113</v>
      </c>
      <c r="AB103" s="13"/>
      <c r="AC103" s="13"/>
      <c r="AD103" s="13" t="s">
        <v>1162</v>
      </c>
      <c r="AE103" s="13" t="s">
        <v>1163</v>
      </c>
      <c r="AF103" s="13" t="s">
        <v>1164</v>
      </c>
      <c r="AG103" s="24" t="s">
        <v>1165</v>
      </c>
      <c r="AH103" s="13" t="s">
        <v>100</v>
      </c>
      <c r="AI103" s="13"/>
    </row>
    <row r="104" customFormat="false" ht="15" hidden="false" customHeight="false" outlineLevel="0" collapsed="false">
      <c r="A104" s="13" t="s">
        <v>38</v>
      </c>
      <c r="B104" s="13" t="s">
        <v>1205</v>
      </c>
      <c r="C104" s="13" t="s">
        <v>1206</v>
      </c>
      <c r="D104" s="13" t="s">
        <v>1207</v>
      </c>
      <c r="E104" s="13" t="s">
        <v>200</v>
      </c>
      <c r="F104" s="13" t="s">
        <v>201</v>
      </c>
      <c r="G104" s="14" t="n">
        <v>2142</v>
      </c>
      <c r="H104" s="13" t="s">
        <v>18</v>
      </c>
      <c r="I104" s="15" t="n">
        <v>0.0028</v>
      </c>
      <c r="J104" s="16" t="n">
        <f aca="false">IFERROR(INDEX('Como ler'!$B$20:$B$24,MATCH(H104,'Como ler'!$A$20:$A$24,0)),"")</f>
        <v>0.04</v>
      </c>
      <c r="K104" s="17" t="n">
        <f aca="false">IF(OR(I104="",J104=""),"",I104/J104)</f>
        <v>0.07</v>
      </c>
      <c r="L104" s="14" t="n">
        <v>7</v>
      </c>
      <c r="M104" s="18" t="n">
        <v>0</v>
      </c>
      <c r="N104" s="14"/>
      <c r="O104" s="17" t="str">
        <f aca="false">IF(OR(N104="",G104=0),"",N104/G104)</f>
        <v/>
      </c>
      <c r="P104" s="19" t="n">
        <v>0</v>
      </c>
      <c r="Q104" s="20" t="n">
        <v>4.7</v>
      </c>
      <c r="R104" s="21" t="n">
        <v>46091</v>
      </c>
      <c r="S104" s="22" t="n">
        <f aca="false">IF(R104="","",'Como ler'!$B$27-R104)</f>
        <v>201</v>
      </c>
      <c r="T104" s="13" t="n">
        <v>0</v>
      </c>
      <c r="U104" s="13"/>
      <c r="V104" s="13" t="s">
        <v>46</v>
      </c>
      <c r="W104" s="13" t="s">
        <v>779</v>
      </c>
      <c r="X104" s="23" t="s">
        <v>94</v>
      </c>
      <c r="Y104" s="13" t="n">
        <f aca="false">ROUND(IF(K104="",0,MIN(40,40*K104/1.5))+IF(S104="",0,IF(S104&lt;=7,20,IF(S104&lt;=30,12,IF(S104&lt;=90,5,0))))+IF(Q104="",0,MIN(15,Q104*5))+IF(O104="",0,MIN(15,O104*30))+IF(E104="Criador(a)",10,IF(E104="Especialista que cria conteúdo",6,4)),0)</f>
        <v>21</v>
      </c>
      <c r="Z104" s="13" t="s">
        <v>105</v>
      </c>
      <c r="AA104" s="13"/>
      <c r="AB104" s="13"/>
      <c r="AC104" s="13" t="s">
        <v>114</v>
      </c>
      <c r="AD104" s="13" t="s">
        <v>1208</v>
      </c>
      <c r="AE104" s="13" t="s">
        <v>1209</v>
      </c>
      <c r="AF104" s="13" t="s">
        <v>1210</v>
      </c>
      <c r="AG104" s="24" t="s">
        <v>1211</v>
      </c>
      <c r="AH104" s="13" t="s">
        <v>100</v>
      </c>
      <c r="AI104" s="13"/>
    </row>
    <row r="105" customFormat="false" ht="15" hidden="false" customHeight="false" outlineLevel="0" collapsed="false">
      <c r="A105" s="13" t="s">
        <v>38</v>
      </c>
      <c r="B105" s="13" t="s">
        <v>36</v>
      </c>
      <c r="C105" s="13" t="s">
        <v>1222</v>
      </c>
      <c r="D105" s="13" t="s">
        <v>1223</v>
      </c>
      <c r="E105" s="13" t="s">
        <v>30</v>
      </c>
      <c r="F105" s="13" t="s">
        <v>28</v>
      </c>
      <c r="G105" s="14" t="n">
        <v>1233</v>
      </c>
      <c r="H105" s="13" t="s">
        <v>18</v>
      </c>
      <c r="I105" s="15" t="n">
        <v>0.017</v>
      </c>
      <c r="J105" s="16" t="n">
        <f aca="false">IFERROR(INDEX('Como ler'!$B$20:$B$24,MATCH(H105,'Como ler'!$A$20:$A$24,0)),"")</f>
        <v>0.04</v>
      </c>
      <c r="K105" s="17" t="n">
        <f aca="false">IF(OR(I105="",J105=""),"",I105/J105)</f>
        <v>0.425</v>
      </c>
      <c r="L105" s="14" t="n">
        <v>270</v>
      </c>
      <c r="M105" s="18" t="n">
        <v>8.6</v>
      </c>
      <c r="N105" s="14" t="n">
        <v>2452</v>
      </c>
      <c r="O105" s="17" t="n">
        <f aca="false">IF(OR(N105="",G105=0),"",N105/G105)</f>
        <v>1.98864557988646</v>
      </c>
      <c r="P105" s="19" t="n">
        <v>0.36</v>
      </c>
      <c r="Q105" s="20" t="n">
        <v>1.5</v>
      </c>
      <c r="R105" s="21" t="n">
        <v>46291</v>
      </c>
      <c r="S105" s="22" t="n">
        <f aca="false">IF(R105="","",'Como ler'!$B$27-R105)</f>
        <v>1</v>
      </c>
      <c r="T105" s="13" t="n">
        <v>1</v>
      </c>
      <c r="U105" s="13"/>
      <c r="V105" s="13" t="s">
        <v>45</v>
      </c>
      <c r="W105" s="13" t="s">
        <v>45</v>
      </c>
      <c r="X105" s="25" t="s">
        <v>104</v>
      </c>
      <c r="Y105" s="13" t="n">
        <f aca="false">ROUND(IF(K105="",0,MIN(40,40*K105/1.5))+IF(S105="",0,IF(S105&lt;=7,20,IF(S105&lt;=30,12,IF(S105&lt;=90,5,0))))+IF(Q105="",0,MIN(15,Q105*5))+IF(O105="",0,MIN(15,O105*30))+IF(E105="Criador(a)",10,IF(E105="Especialista que cria conteúdo",6,4)),0)</f>
        <v>64</v>
      </c>
      <c r="Z105" s="13"/>
      <c r="AA105" s="13"/>
      <c r="AB105" s="13"/>
      <c r="AC105" s="13"/>
      <c r="AD105" s="13" t="s">
        <v>1224</v>
      </c>
      <c r="AE105" s="13" t="s">
        <v>1225</v>
      </c>
      <c r="AF105" s="13" t="s">
        <v>1226</v>
      </c>
      <c r="AG105" s="24" t="s">
        <v>1227</v>
      </c>
      <c r="AH105" s="13" t="s">
        <v>100</v>
      </c>
      <c r="AI105" s="13"/>
    </row>
  </sheetData>
  <autoFilter ref="A1:AI105"/>
  <dataValidations count="1">
    <dataValidation allowBlank="true" errorStyle="stop" operator="between" showDropDown="false" showErrorMessage="false" showInputMessage="false" sqref="AH2:AH105" type="list">
      <formula1>"Não contatada,DM enviada,Respondeu,Negociando,Fechada,Recusou,Descartada"</formula1>
      <formula2>0</formula2>
    </dataValidation>
  </dataValidations>
  <hyperlinks>
    <hyperlink ref="AG2" r:id="rId1" display="https://instagram.com/julianadomareski"/>
    <hyperlink ref="AG3" r:id="rId2" display="https://instagram.com/tatypassos__"/>
    <hyperlink ref="AG4" r:id="rId3" display="https://instagram.com/shophome.brasil"/>
    <hyperlink ref="AG5" r:id="rId4" display="https://instagram.com/isabelaonofre"/>
    <hyperlink ref="AG6" r:id="rId5" display="https://instagram.com/solaynesantos"/>
    <hyperlink ref="AG7" r:id="rId6" display="https://instagram.com/itajaimilgr4u"/>
    <hyperlink ref="AG8" r:id="rId7" display="https://instagram.com/rurikdrone"/>
    <hyperlink ref="AG9" r:id="rId8" display="https://instagram.com/isabbelle_m"/>
    <hyperlink ref="AG10" r:id="rId9" display="https://instagram.com/ddiegoo.martins"/>
    <hyperlink ref="AG11" r:id="rId10" display="https://instagram.com/brunarotta_"/>
    <hyperlink ref="AG12" r:id="rId11" display="https://instagram.com/letsbalneario"/>
    <hyperlink ref="AG13" r:id="rId12" display="https://instagram.com/blogueiracamilar"/>
    <hyperlink ref="AG14" r:id="rId13" display="https://instagram.com/_balneario_camboriu"/>
    <hyperlink ref="AG15" r:id="rId14" display="https://instagram.com/bccity_"/>
    <hyperlink ref="AG16" r:id="rId15" display="https://instagram.com/balneariocamboriuemfocoo"/>
    <hyperlink ref="AG17" r:id="rId16" display="https://instagram.com/kcrespi"/>
    <hyperlink ref="AG18" r:id="rId17" display="https://instagram.com/maduwebberr"/>
    <hyperlink ref="AG19" r:id="rId18" display="https://instagram.com/ondeirbc"/>
    <hyperlink ref="AG20" r:id="rId19" display="https://instagram.com/lugaresdebc"/>
    <hyperlink ref="AG21" r:id="rId20" display="https://instagram.com/coisasquecomo"/>
    <hyperlink ref="AG22" r:id="rId21" display="https://instagram.com/eucarolinaalbuquerque"/>
    <hyperlink ref="AG23" r:id="rId22" display="https://instagram.com/paulafpaiva"/>
    <hyperlink ref="AG24" r:id="rId23" display="https://instagram.com/leidy_knowles"/>
    <hyperlink ref="AG25" r:id="rId24" display="https://instagram.com/rolezandoembcc"/>
    <hyperlink ref="AG26" r:id="rId25" display="https://instagram.com/nicoleborsatto"/>
    <hyperlink ref="AG27" r:id="rId26" display="https://instagram.com/gabrielabrenda_"/>
    <hyperlink ref="AG28" r:id="rId27" display="https://instagram.com/dra.alynnegalindo"/>
    <hyperlink ref="AG29" r:id="rId28" display="https://instagram.com/karina_smaniotto"/>
    <hyperlink ref="AG30" r:id="rId29" display="https://instagram.com/alanazandonai"/>
    <hyperlink ref="AG31" r:id="rId30" display="https://instagram.com/balneariomilgrau_"/>
    <hyperlink ref="AG32" r:id="rId31" display="https://instagram.com/fabioframeup"/>
    <hyperlink ref="AG33" r:id="rId32" display="https://instagram.com/bcemfotos"/>
    <hyperlink ref="AG34" r:id="rId33" display="https://instagram.com/letiiciaramosss"/>
    <hyperlink ref="AG35" r:id="rId34" display="https://instagram.com/paulinhocatarina"/>
    <hyperlink ref="AG36" r:id="rId35" display="https://instagram.com/scorphousebc"/>
    <hyperlink ref="AG37" r:id="rId36" display="https://instagram.com/vivipotrich"/>
    <hyperlink ref="AG38" r:id="rId37" display="https://instagram.com/matheus_ramosc"/>
    <hyperlink ref="AG39" r:id="rId38" display="https://instagram.com/annarafaellanogueira"/>
    <hyperlink ref="AG40" r:id="rId39" display="https://instagram.com/balneariocamboriubr"/>
    <hyperlink ref="AG41" r:id="rId40" display="https://instagram.com/lucianomastria"/>
    <hyperlink ref="AG42" r:id="rId41" display="https://instagram.com/lidianyazevedocantora"/>
    <hyperlink ref="AG43" r:id="rId42" display="https://instagram.com/visitebceregiao"/>
    <hyperlink ref="AG44" r:id="rId43" display="https://instagram.com/ovendedorderua"/>
    <hyperlink ref="AG45" r:id="rId44" display="https://instagram.com/andresonlindemberg"/>
    <hyperlink ref="AG46" r:id="rId45" display="https://instagram.com/guilhermefiguero"/>
    <hyperlink ref="AG47" r:id="rId46" display="https://instagram.com/jessica.santtosp"/>
    <hyperlink ref="AG48" r:id="rId47" display="https://instagram.com/brunafarias.93"/>
    <hyperlink ref="AG49" r:id="rId48" display="https://instagram.com/jordanamedeirosb"/>
    <hyperlink ref="AG50" r:id="rId49" display="https://instagram.com/thiagohlopes.treinador"/>
    <hyperlink ref="AG51" r:id="rId50" display="https://instagram.com/draamanda_rodrigues"/>
    <hyperlink ref="AG52" r:id="rId51" display="https://instagram.com/diego7benassi"/>
    <hyperlink ref="AG53" r:id="rId52" display="https://instagram.com/vanessalesnieski"/>
    <hyperlink ref="AG54" r:id="rId53" display="https://instagram.com/abnerbernardes__"/>
    <hyperlink ref="AG55" r:id="rId54" display="https://instagram.com/privieiraorganiza"/>
    <hyperlink ref="AG56" r:id="rId55" display="https://instagram.com/giseleschmitt___"/>
    <hyperlink ref="AG57" r:id="rId56" display="https://instagram.com/johnnycashogato"/>
    <hyperlink ref="AG58" r:id="rId57" display="https://instagram.com/patriciasilvaorganizer"/>
    <hyperlink ref="AG59" r:id="rId58" display="https://instagram.com/balneariodicas"/>
    <hyperlink ref="AG60" r:id="rId59" display="https://instagram.com/danymatiasbc"/>
    <hyperlink ref="AG61" r:id="rId60" display="https://instagram.com/deborahdz"/>
    <hyperlink ref="AG62" r:id="rId61" display="https://instagram.com/andreiamazzochi_"/>
    <hyperlink ref="AG63" r:id="rId62" display="https://instagram.com/jazminnnavarro"/>
    <hyperlink ref="AG64" r:id="rId63" display="https://instagram.com/correbc"/>
    <hyperlink ref="AG65" r:id="rId64" display="https://instagram.com/maira_l.c"/>
    <hyperlink ref="AG66" r:id="rId65" display="https://instagram.com/cris_kamph"/>
    <hyperlink ref="AG67" r:id="rId66" display="https://instagram.com/paolopohlmann"/>
    <hyperlink ref="AG68" r:id="rId67" display="https://instagram.com/tatianatorresbb"/>
    <hyperlink ref="AG69" r:id="rId68" display="https://instagram.com/personalmichaeldouglas"/>
    <hyperlink ref="AG70" r:id="rId69" display="https://instagram.com/paulagarciapersonal"/>
    <hyperlink ref="AG71" r:id="rId70" display="https://instagram.com/_camilaaltenhofen"/>
    <hyperlink ref="AG72" r:id="rId71" display="https://instagram.com/karen_personal96"/>
    <hyperlink ref="AG73" r:id="rId72" display="https://instagram.com/pippo_ramirez"/>
    <hyperlink ref="AG74" r:id="rId73" display="https://instagram.com/juliovaleriojv"/>
    <hyperlink ref="AG75" r:id="rId74" display="https://instagram.com/ane.furtado"/>
    <hyperlink ref="AG76" r:id="rId75" display="https://instagram.com/rochapatriciaj"/>
    <hyperlink ref="AG77" r:id="rId76" display="https://instagram.com/organizzo.op"/>
    <hyperlink ref="AG78" r:id="rId77" display="https://instagram.com/gabisc07"/>
    <hyperlink ref="AG79" r:id="rId78" display="https://instagram.com/rodrigo_silva_ct_cross"/>
    <hyperlink ref="AG80" r:id="rId79" display="https://instagram.com/gabrmartins"/>
    <hyperlink ref="AG81" r:id="rId80" display="https://instagram.com/vivabc.joseph"/>
    <hyperlink ref="AG82" r:id="rId81" display="https://instagram.com/temporadacamboriu"/>
    <hyperlink ref="AG83" r:id="rId82" display="https://instagram.com/jennioliver1"/>
    <hyperlink ref="AG84" r:id="rId83" display="https://instagram.com/inessantisbc"/>
    <hyperlink ref="AG85" r:id="rId84" display="https://instagram.com/personalpaulaff"/>
    <hyperlink ref="AG86" r:id="rId85" display="https://instagram.com/anacr.m"/>
    <hyperlink ref="AG87" r:id="rId86" display="https://instagram.com/treinadora_bruwaltrick"/>
    <hyperlink ref="AG88" r:id="rId87" display="https://instagram.com/alexsandrazarske"/>
    <hyperlink ref="AG89" r:id="rId88" display="https://instagram.com/bcvibesbc"/>
    <hyperlink ref="AG90" r:id="rId89" display="https://instagram.com/carlos89martins"/>
    <hyperlink ref="AG91" r:id="rId90" display="https://instagram.com/fernandavieiraconsultora"/>
    <hyperlink ref="AG92" r:id="rId91" display="https://instagram.com/mi.frias"/>
    <hyperlink ref="AG93" r:id="rId92" display="https://instagram.com/balneariocamboriu_cidade"/>
    <hyperlink ref="AG94" r:id="rId93" display="https://instagram.com/tainaraviau"/>
    <hyperlink ref="AG95" r:id="rId94" display="https://instagram.com/elainesimoesnane"/>
    <hyperlink ref="AG96" r:id="rId95" display="https://instagram.com/amitalendo"/>
    <hyperlink ref="AG97" r:id="rId96" display="https://instagram.com/julianamaestri.bessani.psico"/>
    <hyperlink ref="AG98" r:id="rId97" display="https://instagram.com/guimelo8"/>
    <hyperlink ref="AG99" r:id="rId98" display="https://instagram.com/jessicaaolivei"/>
    <hyperlink ref="AG100" r:id="rId99" display="https://instagram.com/eduardoinvest.bc"/>
    <hyperlink ref="AG101" r:id="rId100" display="https://instagram.com/vivi_balneariocamboriu"/>
    <hyperlink ref="AG102" r:id="rId101" display="https://instagram.com/joseelacerdaa"/>
    <hyperlink ref="AG103" r:id="rId102" display="https://instagram.com/heber.oliveira.pesca_de_praia"/>
    <hyperlink ref="AG104" r:id="rId103" display="https://instagram.com/boas_dicas_bc"/>
    <hyperlink ref="AG105" r:id="rId104" display="https://instagram.com/andreiamouras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24"/>
    <col collapsed="false" customWidth="true" hidden="false" outlineLevel="0" max="22" min="22" style="0" width="20"/>
    <col collapsed="false" customWidth="true" hidden="false" outlineLevel="0" max="23" min="23" style="0" width="40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18"/>
    <col collapsed="false" customWidth="true" hidden="false" outlineLevel="0" max="28" min="27" style="0" width="8"/>
    <col collapsed="false" customWidth="true" hidden="false" outlineLevel="0" max="29" min="29" style="0" width="14"/>
    <col collapsed="false" customWidth="true" hidden="false" outlineLevel="0" max="30" min="30" style="0" width="34"/>
    <col collapsed="false" customWidth="true" hidden="false" outlineLevel="0" max="31" min="31" style="0" width="40"/>
    <col collapsed="false" customWidth="true" hidden="false" outlineLevel="0" max="32" min="32" style="0" width="60"/>
    <col collapsed="false" customWidth="true" hidden="false" outlineLevel="0" max="33" min="33" style="0" width="30"/>
    <col collapsed="false" customWidth="true" hidden="false" outlineLevel="0" max="34" min="34" style="0" width="14"/>
    <col collapsed="false" customWidth="true" hidden="false" outlineLevel="0" max="35" min="35" style="0" width="30"/>
  </cols>
  <sheetData>
    <row r="1" customFormat="false" ht="31.5" hidden="false" customHeight="true" outlineLevel="0" collapsed="false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30</v>
      </c>
      <c r="G1" s="12" t="s">
        <v>63</v>
      </c>
      <c r="H1" s="12" t="s">
        <v>16</v>
      </c>
      <c r="I1" s="12" t="s">
        <v>64</v>
      </c>
      <c r="J1" s="12" t="s">
        <v>65</v>
      </c>
      <c r="K1" s="12" t="s">
        <v>66</v>
      </c>
      <c r="L1" s="12" t="s">
        <v>67</v>
      </c>
      <c r="M1" s="12" t="s">
        <v>68</v>
      </c>
      <c r="N1" s="12" t="s">
        <v>69</v>
      </c>
      <c r="O1" s="12" t="s">
        <v>70</v>
      </c>
      <c r="P1" s="12" t="s">
        <v>71</v>
      </c>
      <c r="Q1" s="12" t="s">
        <v>72</v>
      </c>
      <c r="R1" s="12" t="s">
        <v>73</v>
      </c>
      <c r="S1" s="12" t="s">
        <v>74</v>
      </c>
      <c r="T1" s="12" t="s">
        <v>75</v>
      </c>
      <c r="U1" s="12" t="s">
        <v>76</v>
      </c>
      <c r="V1" s="12" t="s">
        <v>77</v>
      </c>
      <c r="W1" s="12" t="s">
        <v>78</v>
      </c>
      <c r="X1" s="12" t="s">
        <v>79</v>
      </c>
      <c r="Y1" s="12" t="s">
        <v>80</v>
      </c>
      <c r="Z1" s="12" t="s">
        <v>81</v>
      </c>
      <c r="AA1" s="12" t="s">
        <v>82</v>
      </c>
      <c r="AB1" s="12" t="s">
        <v>83</v>
      </c>
      <c r="AC1" s="12" t="s">
        <v>84</v>
      </c>
      <c r="AD1" s="12" t="s">
        <v>85</v>
      </c>
      <c r="AE1" s="12" t="s">
        <v>86</v>
      </c>
      <c r="AF1" s="12" t="s">
        <v>87</v>
      </c>
      <c r="AG1" s="12" t="s">
        <v>88</v>
      </c>
      <c r="AH1" s="12" t="s">
        <v>89</v>
      </c>
      <c r="AI1" s="12" t="s">
        <v>90</v>
      </c>
    </row>
    <row r="2" customFormat="false" ht="15" hidden="false" customHeight="false" outlineLevel="0" collapsed="false">
      <c r="A2" s="13" t="s">
        <v>36</v>
      </c>
      <c r="B2" s="13" t="s">
        <v>37</v>
      </c>
      <c r="C2" s="13" t="s">
        <v>502</v>
      </c>
      <c r="D2" s="13" t="s">
        <v>503</v>
      </c>
      <c r="E2" s="13" t="s">
        <v>200</v>
      </c>
      <c r="F2" s="13" t="s">
        <v>201</v>
      </c>
      <c r="G2" s="14" t="n">
        <v>169872</v>
      </c>
      <c r="H2" s="13" t="s">
        <v>21</v>
      </c>
      <c r="I2" s="15" t="n">
        <v>0.0013</v>
      </c>
      <c r="J2" s="16" t="n">
        <f aca="false">IFERROR(INDEX('Como ler'!$B$20:$B$24,MATCH(H2,'Como ler'!$A$20:$A$24,0)),"")</f>
        <v>0.01</v>
      </c>
      <c r="K2" s="17" t="n">
        <f aca="false">IF(OR(I2="",J2=""),"",I2/J2)</f>
        <v>0.13</v>
      </c>
      <c r="L2" s="14" t="n">
        <v>494</v>
      </c>
      <c r="M2" s="18" t="n">
        <v>14.4</v>
      </c>
      <c r="N2" s="14" t="n">
        <v>1136</v>
      </c>
      <c r="O2" s="17" t="n">
        <f aca="false">IF(OR(N2="",G2=0),"",N2/G2)</f>
        <v>0.00668738815107846</v>
      </c>
      <c r="P2" s="19" t="n">
        <v>1</v>
      </c>
      <c r="Q2" s="20" t="n">
        <v>15.4</v>
      </c>
      <c r="R2" s="21" t="n">
        <v>46291</v>
      </c>
      <c r="S2" s="22" t="n">
        <f aca="false">IF(R2="","",'Como ler'!$B$27-R2)</f>
        <v>1</v>
      </c>
      <c r="T2" s="13" t="n">
        <v>0</v>
      </c>
      <c r="U2" s="13"/>
      <c r="V2" s="13" t="s">
        <v>57</v>
      </c>
      <c r="W2" s="13" t="s">
        <v>57</v>
      </c>
      <c r="X2" s="25" t="s">
        <v>104</v>
      </c>
      <c r="Y2" s="13" t="n">
        <f aca="false">ROUND(IF(K2="",0,MIN(40,40*K2/1.5))+IF(S2="",0,IF(S2&lt;=7,20,IF(S2&lt;=30,12,IF(S2&lt;=90,5,0))))+IF(Q2="",0,MIN(15,Q2*5))+IF(O2="",0,MIN(15,O2*30))+IF(E2="Criador(a)",10,IF(E2="Especialista que cria conteúdo",6,4)),0)</f>
        <v>43</v>
      </c>
      <c r="Z2" s="13" t="s">
        <v>105</v>
      </c>
      <c r="AA2" s="13"/>
      <c r="AB2" s="13"/>
      <c r="AC2" s="13" t="s">
        <v>130</v>
      </c>
      <c r="AD2" s="13" t="s">
        <v>504</v>
      </c>
      <c r="AE2" s="13" t="s">
        <v>505</v>
      </c>
      <c r="AF2" s="13" t="s">
        <v>506</v>
      </c>
      <c r="AG2" s="24" t="s">
        <v>507</v>
      </c>
      <c r="AH2" s="13" t="s">
        <v>100</v>
      </c>
      <c r="AI2" s="13"/>
    </row>
    <row r="3" customFormat="false" ht="15" hidden="false" customHeight="false" outlineLevel="0" collapsed="false">
      <c r="A3" s="13" t="s">
        <v>36</v>
      </c>
      <c r="B3" s="13" t="s">
        <v>37</v>
      </c>
      <c r="C3" s="13" t="s">
        <v>627</v>
      </c>
      <c r="D3" s="13" t="s">
        <v>628</v>
      </c>
      <c r="E3" s="13" t="s">
        <v>30</v>
      </c>
      <c r="F3" s="13" t="s">
        <v>28</v>
      </c>
      <c r="G3" s="14" t="n">
        <v>29874</v>
      </c>
      <c r="H3" s="13" t="s">
        <v>19</v>
      </c>
      <c r="I3" s="15" t="n">
        <v>0.0218</v>
      </c>
      <c r="J3" s="16" t="n">
        <f aca="false">IFERROR(INDEX('Como ler'!$B$20:$B$24,MATCH(H3,'Como ler'!$A$20:$A$24,0)),"")</f>
        <v>0.025</v>
      </c>
      <c r="K3" s="17" t="n">
        <f aca="false">IF(OR(I3="",J3=""),"",I3/J3)</f>
        <v>0.872</v>
      </c>
      <c r="L3" s="14" t="n">
        <v>726</v>
      </c>
      <c r="M3" s="18" t="n">
        <v>31.4</v>
      </c>
      <c r="N3" s="14" t="n">
        <v>2510</v>
      </c>
      <c r="O3" s="17" t="n">
        <f aca="false">IF(OR(N3="",G3=0),"",N3/G3)</f>
        <v>0.084019548771507</v>
      </c>
      <c r="P3" s="19" t="n">
        <v>0.67</v>
      </c>
      <c r="Q3" s="20" t="n">
        <v>14</v>
      </c>
      <c r="R3" s="21" t="n">
        <v>46292</v>
      </c>
      <c r="S3" s="22" t="n">
        <f aca="false">IF(R3="","",'Como ler'!$B$27-R3)</f>
        <v>0</v>
      </c>
      <c r="T3" s="13" t="n">
        <v>0</v>
      </c>
      <c r="U3" s="13"/>
      <c r="V3" s="13" t="s">
        <v>45</v>
      </c>
      <c r="W3" s="13" t="s">
        <v>629</v>
      </c>
      <c r="X3" s="26" t="s">
        <v>129</v>
      </c>
      <c r="Y3" s="13" t="n">
        <f aca="false">ROUND(IF(K3="",0,MIN(40,40*K3/1.5))+IF(S3="",0,IF(S3&lt;=7,20,IF(S3&lt;=30,12,IF(S3&lt;=90,5,0))))+IF(Q3="",0,MIN(15,Q3*5))+IF(O3="",0,MIN(15,O3*30))+IF(E3="Criador(a)",10,IF(E3="Especialista que cria conteúdo",6,4)),0)</f>
        <v>71</v>
      </c>
      <c r="Z3" s="13" t="s">
        <v>105</v>
      </c>
      <c r="AA3" s="13"/>
      <c r="AB3" s="13" t="s">
        <v>113</v>
      </c>
      <c r="AC3" s="13" t="s">
        <v>130</v>
      </c>
      <c r="AD3" s="13" t="s">
        <v>630</v>
      </c>
      <c r="AE3" s="13" t="s">
        <v>631</v>
      </c>
      <c r="AF3" s="13" t="s">
        <v>632</v>
      </c>
      <c r="AG3" s="24" t="s">
        <v>633</v>
      </c>
      <c r="AH3" s="13" t="s">
        <v>100</v>
      </c>
      <c r="AI3" s="13"/>
    </row>
    <row r="4" customFormat="false" ht="15" hidden="false" customHeight="false" outlineLevel="0" collapsed="false">
      <c r="A4" s="13" t="s">
        <v>36</v>
      </c>
      <c r="B4" s="13" t="s">
        <v>37</v>
      </c>
      <c r="C4" s="13" t="s">
        <v>663</v>
      </c>
      <c r="D4" s="13" t="s">
        <v>664</v>
      </c>
      <c r="E4" s="13" t="s">
        <v>200</v>
      </c>
      <c r="F4" s="13" t="s">
        <v>201</v>
      </c>
      <c r="G4" s="14" t="n">
        <v>24560</v>
      </c>
      <c r="H4" s="13" t="s">
        <v>19</v>
      </c>
      <c r="I4" s="15" t="n">
        <v>0.0014</v>
      </c>
      <c r="J4" s="16" t="n">
        <f aca="false">IFERROR(INDEX('Como ler'!$B$20:$B$24,MATCH(H4,'Como ler'!$A$20:$A$24,0)),"")</f>
        <v>0.025</v>
      </c>
      <c r="K4" s="17" t="n">
        <f aca="false">IF(OR(I4="",J4=""),"",I4/J4)</f>
        <v>0.056</v>
      </c>
      <c r="L4" s="14" t="n">
        <v>226</v>
      </c>
      <c r="M4" s="18" t="n">
        <v>5.3</v>
      </c>
      <c r="N4" s="14" t="n">
        <v>212</v>
      </c>
      <c r="O4" s="17" t="n">
        <f aca="false">IF(OR(N4="",G4=0),"",N4/G4)</f>
        <v>0.00863192182410424</v>
      </c>
      <c r="P4" s="19" t="n">
        <v>1</v>
      </c>
      <c r="Q4" s="20" t="n">
        <v>0.7</v>
      </c>
      <c r="R4" s="21" t="n">
        <v>46222</v>
      </c>
      <c r="S4" s="22" t="n">
        <f aca="false">IF(R4="","",'Como ler'!$B$27-R4)</f>
        <v>70</v>
      </c>
      <c r="T4" s="13" t="n">
        <v>0</v>
      </c>
      <c r="U4" s="13"/>
      <c r="V4" s="13" t="s">
        <v>57</v>
      </c>
      <c r="W4" s="13" t="s">
        <v>57</v>
      </c>
      <c r="X4" s="25" t="s">
        <v>104</v>
      </c>
      <c r="Y4" s="13" t="n">
        <f aca="false">ROUND(IF(K4="",0,MIN(40,40*K4/1.5))+IF(S4="",0,IF(S4&lt;=7,20,IF(S4&lt;=30,12,IF(S4&lt;=90,5,0))))+IF(Q4="",0,MIN(15,Q4*5))+IF(O4="",0,MIN(15,O4*30))+IF(E4="Criador(a)",10,IF(E4="Especialista que cria conteúdo",6,4)),0)</f>
        <v>14</v>
      </c>
      <c r="Z4" s="13"/>
      <c r="AA4" s="13"/>
      <c r="AB4" s="13" t="s">
        <v>113</v>
      </c>
      <c r="AC4" s="13"/>
      <c r="AD4" s="13" t="s">
        <v>665</v>
      </c>
      <c r="AE4" s="13" t="s">
        <v>666</v>
      </c>
      <c r="AF4" s="13" t="s">
        <v>667</v>
      </c>
      <c r="AG4" s="24" t="s">
        <v>668</v>
      </c>
      <c r="AH4" s="13" t="s">
        <v>100</v>
      </c>
      <c r="AI4" s="13"/>
    </row>
    <row r="5" customFormat="false" ht="15" hidden="false" customHeight="false" outlineLevel="0" collapsed="false">
      <c r="A5" s="13" t="s">
        <v>36</v>
      </c>
      <c r="B5" s="13" t="s">
        <v>37</v>
      </c>
      <c r="C5" s="13" t="s">
        <v>777</v>
      </c>
      <c r="D5" s="13" t="s">
        <v>778</v>
      </c>
      <c r="E5" s="13" t="s">
        <v>200</v>
      </c>
      <c r="F5" s="13" t="s">
        <v>201</v>
      </c>
      <c r="G5" s="14" t="n">
        <v>6753</v>
      </c>
      <c r="H5" s="13" t="s">
        <v>19</v>
      </c>
      <c r="I5" s="15" t="n">
        <v>0.0025</v>
      </c>
      <c r="J5" s="16" t="n">
        <f aca="false">IFERROR(INDEX('Como ler'!$B$20:$B$24,MATCH(H5,'Como ler'!$A$20:$A$24,0)),"")</f>
        <v>0.025</v>
      </c>
      <c r="K5" s="17" t="n">
        <f aca="false">IF(OR(I5="",J5=""),"",I5/J5)</f>
        <v>0.1</v>
      </c>
      <c r="L5" s="14" t="n">
        <v>19</v>
      </c>
      <c r="M5" s="18" t="n">
        <v>1.4</v>
      </c>
      <c r="N5" s="14" t="n">
        <v>438</v>
      </c>
      <c r="O5" s="17" t="n">
        <f aca="false">IF(OR(N5="",G5=0),"",N5/G5)</f>
        <v>0.0648600621945802</v>
      </c>
      <c r="P5" s="19" t="n">
        <v>0.67</v>
      </c>
      <c r="Q5" s="20" t="n">
        <v>0.2</v>
      </c>
      <c r="R5" s="21" t="n">
        <v>45928</v>
      </c>
      <c r="S5" s="22" t="n">
        <f aca="false">IF(R5="","",'Como ler'!$B$27-R5)</f>
        <v>364</v>
      </c>
      <c r="T5" s="13" t="n">
        <v>0</v>
      </c>
      <c r="U5" s="13"/>
      <c r="V5" s="13" t="s">
        <v>46</v>
      </c>
      <c r="W5" s="13" t="s">
        <v>779</v>
      </c>
      <c r="X5" s="23" t="s">
        <v>94</v>
      </c>
      <c r="Y5" s="13" t="n">
        <f aca="false">ROUND(IF(K5="",0,MIN(40,40*K5/1.5))+IF(S5="",0,IF(S5&lt;=7,20,IF(S5&lt;=30,12,IF(S5&lt;=90,5,0))))+IF(Q5="",0,MIN(15,Q5*5))+IF(O5="",0,MIN(15,O5*30))+IF(E5="Criador(a)",10,IF(E5="Especialista que cria conteúdo",6,4)),0)</f>
        <v>10</v>
      </c>
      <c r="Z5" s="13" t="s">
        <v>105</v>
      </c>
      <c r="AA5" s="13"/>
      <c r="AB5" s="13"/>
      <c r="AC5" s="13" t="s">
        <v>130</v>
      </c>
      <c r="AD5" s="13" t="s">
        <v>780</v>
      </c>
      <c r="AE5" s="13" t="s">
        <v>781</v>
      </c>
      <c r="AF5" s="13" t="s">
        <v>782</v>
      </c>
      <c r="AG5" s="24" t="s">
        <v>783</v>
      </c>
      <c r="AH5" s="13" t="s">
        <v>100</v>
      </c>
      <c r="AI5" s="13"/>
    </row>
    <row r="6" customFormat="false" ht="15" hidden="false" customHeight="false" outlineLevel="0" collapsed="false">
      <c r="A6" s="13" t="s">
        <v>36</v>
      </c>
      <c r="B6" s="13" t="s">
        <v>37</v>
      </c>
      <c r="C6" s="13" t="s">
        <v>854</v>
      </c>
      <c r="D6" s="13" t="s">
        <v>855</v>
      </c>
      <c r="E6" s="13" t="s">
        <v>30</v>
      </c>
      <c r="F6" s="13" t="s">
        <v>766</v>
      </c>
      <c r="G6" s="14" t="n">
        <v>3313</v>
      </c>
      <c r="H6" s="13" t="s">
        <v>19</v>
      </c>
      <c r="I6" s="15" t="n">
        <v>0.0063</v>
      </c>
      <c r="J6" s="16" t="n">
        <f aca="false">IFERROR(INDEX('Como ler'!$B$20:$B$24,MATCH(H6,'Como ler'!$A$20:$A$24,0)),"")</f>
        <v>0.025</v>
      </c>
      <c r="K6" s="17" t="n">
        <f aca="false">IF(OR(I6="",J6=""),"",I6/J6)</f>
        <v>0.252</v>
      </c>
      <c r="L6" s="14" t="n">
        <v>43</v>
      </c>
      <c r="M6" s="18" t="n">
        <v>2.6</v>
      </c>
      <c r="N6" s="14" t="n">
        <v>144</v>
      </c>
      <c r="O6" s="17" t="n">
        <f aca="false">IF(OR(N6="",G6=0),"",N6/G6)</f>
        <v>0.0434651373377603</v>
      </c>
      <c r="P6" s="19" t="n">
        <v>0.89</v>
      </c>
      <c r="Q6" s="20" t="n">
        <v>0.7</v>
      </c>
      <c r="R6" s="21" t="n">
        <v>46291</v>
      </c>
      <c r="S6" s="22" t="n">
        <f aca="false">IF(R6="","",'Como ler'!$B$27-R6)</f>
        <v>1</v>
      </c>
      <c r="T6" s="13" t="n">
        <v>0</v>
      </c>
      <c r="U6" s="13"/>
      <c r="V6" s="13" t="s">
        <v>53</v>
      </c>
      <c r="W6" s="13" t="s">
        <v>856</v>
      </c>
      <c r="X6" s="26" t="s">
        <v>129</v>
      </c>
      <c r="Y6" s="13" t="n">
        <f aca="false">ROUND(IF(K6="",0,MIN(40,40*K6/1.5))+IF(S6="",0,IF(S6&lt;=7,20,IF(S6&lt;=30,12,IF(S6&lt;=90,5,0))))+IF(Q6="",0,MIN(15,Q6*5))+IF(O6="",0,MIN(15,O6*30))+IF(E6="Criador(a)",10,IF(E6="Especialista que cria conteúdo",6,4)),0)</f>
        <v>42</v>
      </c>
      <c r="Z6" s="13"/>
      <c r="AA6" s="13"/>
      <c r="AB6" s="13"/>
      <c r="AC6" s="13"/>
      <c r="AD6" s="13" t="s">
        <v>857</v>
      </c>
      <c r="AE6" s="13" t="s">
        <v>858</v>
      </c>
      <c r="AF6" s="13" t="s">
        <v>859</v>
      </c>
      <c r="AG6" s="24" t="s">
        <v>860</v>
      </c>
      <c r="AH6" s="13" t="s">
        <v>100</v>
      </c>
      <c r="AI6" s="13"/>
    </row>
    <row r="7" customFormat="false" ht="15" hidden="false" customHeight="false" outlineLevel="0" collapsed="false">
      <c r="A7" s="13" t="s">
        <v>36</v>
      </c>
      <c r="B7" s="13" t="s">
        <v>37</v>
      </c>
      <c r="C7" s="13" t="s">
        <v>861</v>
      </c>
      <c r="D7" s="13" t="s">
        <v>862</v>
      </c>
      <c r="E7" s="13" t="s">
        <v>30</v>
      </c>
      <c r="F7" s="13" t="s">
        <v>29</v>
      </c>
      <c r="G7" s="14" t="n">
        <v>3283</v>
      </c>
      <c r="H7" s="13" t="s">
        <v>19</v>
      </c>
      <c r="I7" s="15" t="n">
        <v>0.0084</v>
      </c>
      <c r="J7" s="16" t="n">
        <f aca="false">IFERROR(INDEX('Como ler'!$B$20:$B$24,MATCH(H7,'Como ler'!$A$20:$A$24,0)),"")</f>
        <v>0.025</v>
      </c>
      <c r="K7" s="17" t="n">
        <f aca="false">IF(OR(I7="",J7=""),"",I7/J7)</f>
        <v>0.336</v>
      </c>
      <c r="L7" s="14" t="n">
        <v>26</v>
      </c>
      <c r="M7" s="18" t="n">
        <v>5.9</v>
      </c>
      <c r="N7" s="14" t="n">
        <v>316</v>
      </c>
      <c r="O7" s="17" t="n">
        <f aca="false">IF(OR(N7="",G7=0),"",N7/G7)</f>
        <v>0.0962534267438319</v>
      </c>
      <c r="P7" s="19" t="n">
        <v>0.22</v>
      </c>
      <c r="Q7" s="20" t="n">
        <v>14</v>
      </c>
      <c r="R7" s="21" t="n">
        <v>46291</v>
      </c>
      <c r="S7" s="22" t="n">
        <f aca="false">IF(R7="","",'Como ler'!$B$27-R7)</f>
        <v>1</v>
      </c>
      <c r="T7" s="13" t="n">
        <v>1</v>
      </c>
      <c r="U7" s="13"/>
      <c r="V7" s="13" t="s">
        <v>48</v>
      </c>
      <c r="W7" s="13" t="s">
        <v>144</v>
      </c>
      <c r="X7" s="23" t="s">
        <v>94</v>
      </c>
      <c r="Y7" s="13" t="n">
        <f aca="false">ROUND(IF(K7="",0,MIN(40,40*K7/1.5))+IF(S7="",0,IF(S7&lt;=7,20,IF(S7&lt;=30,12,IF(S7&lt;=90,5,0))))+IF(Q7="",0,MIN(15,Q7*5))+IF(O7="",0,MIN(15,O7*30))+IF(E7="Criador(a)",10,IF(E7="Especialista que cria conteúdo",6,4)),0)</f>
        <v>57</v>
      </c>
      <c r="Z7" s="13" t="s">
        <v>159</v>
      </c>
      <c r="AA7" s="13"/>
      <c r="AB7" s="13" t="s">
        <v>113</v>
      </c>
      <c r="AC7" s="13"/>
      <c r="AD7" s="13" t="s">
        <v>863</v>
      </c>
      <c r="AE7" s="13" t="s">
        <v>864</v>
      </c>
      <c r="AF7" s="13" t="s">
        <v>865</v>
      </c>
      <c r="AG7" s="24" t="s">
        <v>866</v>
      </c>
      <c r="AH7" s="13" t="s">
        <v>100</v>
      </c>
      <c r="AI7" s="13"/>
    </row>
    <row r="8" customFormat="false" ht="15" hidden="false" customHeight="false" outlineLevel="0" collapsed="false">
      <c r="A8" s="13" t="s">
        <v>36</v>
      </c>
      <c r="B8" s="13" t="s">
        <v>37</v>
      </c>
      <c r="C8" s="13" t="s">
        <v>891</v>
      </c>
      <c r="D8" s="13" t="s">
        <v>892</v>
      </c>
      <c r="E8" s="13" t="s">
        <v>157</v>
      </c>
      <c r="F8" s="13" t="s">
        <v>29</v>
      </c>
      <c r="G8" s="14" t="n">
        <v>2408</v>
      </c>
      <c r="H8" s="13" t="s">
        <v>18</v>
      </c>
      <c r="I8" s="15" t="n">
        <v>0.0131</v>
      </c>
      <c r="J8" s="16" t="n">
        <f aca="false">IFERROR(INDEX('Como ler'!$B$20:$B$24,MATCH(H8,'Como ler'!$A$20:$A$24,0)),"")</f>
        <v>0.04</v>
      </c>
      <c r="K8" s="17" t="n">
        <f aca="false">IF(OR(I8="",J8=""),"",I8/J8)</f>
        <v>0.3275</v>
      </c>
      <c r="L8" s="14" t="n">
        <v>38</v>
      </c>
      <c r="M8" s="18" t="n">
        <v>3.4</v>
      </c>
      <c r="N8" s="14" t="n">
        <v>210</v>
      </c>
      <c r="O8" s="17" t="n">
        <f aca="false">IF(OR(N8="",G8=0),"",N8/G8)</f>
        <v>0.0872093023255814</v>
      </c>
      <c r="P8" s="19" t="n">
        <v>0.45</v>
      </c>
      <c r="Q8" s="20" t="n">
        <v>1.5</v>
      </c>
      <c r="R8" s="21" t="n">
        <v>46292</v>
      </c>
      <c r="S8" s="22" t="n">
        <f aca="false">IF(R8="","",'Como ler'!$B$27-R8)</f>
        <v>0</v>
      </c>
      <c r="T8" s="13" t="n">
        <v>0</v>
      </c>
      <c r="U8" s="13"/>
      <c r="V8" s="13" t="s">
        <v>45</v>
      </c>
      <c r="W8" s="13" t="s">
        <v>893</v>
      </c>
      <c r="X8" s="26" t="s">
        <v>129</v>
      </c>
      <c r="Y8" s="13" t="n">
        <f aca="false">ROUND(IF(K8="",0,MIN(40,40*K8/1.5))+IF(S8="",0,IF(S8&lt;=7,20,IF(S8&lt;=30,12,IF(S8&lt;=90,5,0))))+IF(Q8="",0,MIN(15,Q8*5))+IF(O8="",0,MIN(15,O8*30))+IF(E8="Criador(a)",10,IF(E8="Especialista que cria conteúdo",6,4)),0)</f>
        <v>45</v>
      </c>
      <c r="Z8" s="13" t="s">
        <v>622</v>
      </c>
      <c r="AA8" s="13"/>
      <c r="AB8" s="13" t="s">
        <v>113</v>
      </c>
      <c r="AC8" s="13"/>
      <c r="AD8" s="13" t="s">
        <v>894</v>
      </c>
      <c r="AE8" s="13" t="s">
        <v>895</v>
      </c>
      <c r="AF8" s="13" t="s">
        <v>896</v>
      </c>
      <c r="AG8" s="24" t="s">
        <v>897</v>
      </c>
      <c r="AH8" s="13" t="s">
        <v>100</v>
      </c>
      <c r="AI8" s="13"/>
    </row>
    <row r="9" customFormat="false" ht="15" hidden="false" customHeight="false" outlineLevel="0" collapsed="false">
      <c r="A9" s="13" t="s">
        <v>37</v>
      </c>
      <c r="B9" s="13" t="s">
        <v>36</v>
      </c>
      <c r="C9" s="13" t="s">
        <v>965</v>
      </c>
      <c r="D9" s="13" t="s">
        <v>966</v>
      </c>
      <c r="E9" s="13" t="s">
        <v>157</v>
      </c>
      <c r="F9" s="13" t="s">
        <v>28</v>
      </c>
      <c r="G9" s="14" t="n">
        <v>76860</v>
      </c>
      <c r="H9" s="13" t="s">
        <v>20</v>
      </c>
      <c r="I9" s="15" t="n">
        <v>0.0155</v>
      </c>
      <c r="J9" s="16" t="n">
        <f aca="false">IFERROR(INDEX('Como ler'!$B$20:$B$24,MATCH(H9,'Como ler'!$A$20:$A$24,0)),"")</f>
        <v>0.015</v>
      </c>
      <c r="K9" s="17" t="n">
        <f aca="false">IF(OR(I9="",J9=""),"",I9/J9)</f>
        <v>1.03333333333333</v>
      </c>
      <c r="L9" s="14" t="n">
        <v>1070</v>
      </c>
      <c r="M9" s="18" t="n">
        <v>52.9</v>
      </c>
      <c r="N9" s="14" t="n">
        <v>3928</v>
      </c>
      <c r="O9" s="17" t="n">
        <f aca="false">IF(OR(N9="",G9=0),"",N9/G9)</f>
        <v>0.0511059068436118</v>
      </c>
      <c r="P9" s="19" t="n">
        <v>0.33</v>
      </c>
      <c r="Q9" s="20" t="n">
        <v>1.1</v>
      </c>
      <c r="R9" s="21" t="n">
        <v>46289</v>
      </c>
      <c r="S9" s="22" t="n">
        <f aca="false">IF(R9="","",'Como ler'!$B$27-R9)</f>
        <v>3</v>
      </c>
      <c r="T9" s="13" t="n">
        <v>3</v>
      </c>
      <c r="U9" s="13" t="s">
        <v>967</v>
      </c>
      <c r="V9" s="13" t="s">
        <v>55</v>
      </c>
      <c r="W9" s="13" t="s">
        <v>968</v>
      </c>
      <c r="X9" s="26" t="s">
        <v>129</v>
      </c>
      <c r="Y9" s="13" t="n">
        <f aca="false">ROUND(IF(K9="",0,MIN(40,40*K9/1.5))+IF(S9="",0,IF(S9&lt;=7,20,IF(S9&lt;=30,12,IF(S9&lt;=90,5,0))))+IF(Q9="",0,MIN(15,Q9*5))+IF(O9="",0,MIN(15,O9*30))+IF(E9="Criador(a)",10,IF(E9="Especialista que cria conteúdo",6,4)),0)</f>
        <v>61</v>
      </c>
      <c r="Z9" s="13"/>
      <c r="AA9" s="13"/>
      <c r="AB9" s="13" t="s">
        <v>113</v>
      </c>
      <c r="AC9" s="13"/>
      <c r="AD9" s="13" t="s">
        <v>969</v>
      </c>
      <c r="AE9" s="13" t="s">
        <v>970</v>
      </c>
      <c r="AF9" s="13" t="s">
        <v>971</v>
      </c>
      <c r="AG9" s="24" t="s">
        <v>972</v>
      </c>
      <c r="AH9" s="13" t="s">
        <v>100</v>
      </c>
      <c r="AI9" s="13"/>
    </row>
    <row r="10" customFormat="false" ht="15" hidden="false" customHeight="false" outlineLevel="0" collapsed="false">
      <c r="A10" s="13" t="s">
        <v>37</v>
      </c>
      <c r="B10" s="13" t="s">
        <v>36</v>
      </c>
      <c r="C10" s="13" t="s">
        <v>973</v>
      </c>
      <c r="D10" s="13" t="s">
        <v>974</v>
      </c>
      <c r="E10" s="13" t="s">
        <v>200</v>
      </c>
      <c r="F10" s="13" t="s">
        <v>201</v>
      </c>
      <c r="G10" s="14" t="n">
        <v>32288</v>
      </c>
      <c r="H10" s="13" t="s">
        <v>20</v>
      </c>
      <c r="I10" s="15"/>
      <c r="J10" s="16" t="n">
        <f aca="false">IFERROR(INDEX('Como ler'!$B$20:$B$24,MATCH(H10,'Como ler'!$A$20:$A$24,0)),"")</f>
        <v>0.015</v>
      </c>
      <c r="K10" s="17" t="str">
        <f aca="false">IF(OR(I10="",J10=""),"",I10/J10)</f>
        <v/>
      </c>
      <c r="L10" s="14"/>
      <c r="M10" s="18" t="n">
        <v>0</v>
      </c>
      <c r="N10" s="14"/>
      <c r="O10" s="17" t="str">
        <f aca="false">IF(OR(N10="",G10=0),"",N10/G10)</f>
        <v/>
      </c>
      <c r="P10" s="19" t="n">
        <v>0</v>
      </c>
      <c r="Q10" s="20" t="n">
        <v>0</v>
      </c>
      <c r="R10" s="21" t="n">
        <v>46175</v>
      </c>
      <c r="S10" s="22" t="n">
        <f aca="false">IF(R10="","",'Como ler'!$B$27-R10)</f>
        <v>117</v>
      </c>
      <c r="T10" s="13" t="n">
        <v>0</v>
      </c>
      <c r="U10" s="13"/>
      <c r="V10" s="13" t="s">
        <v>47</v>
      </c>
      <c r="W10" s="13" t="s">
        <v>975</v>
      </c>
      <c r="X10" s="25" t="s">
        <v>104</v>
      </c>
      <c r="Y10" s="13" t="n">
        <f aca="false">ROUND(IF(K10="",0,MIN(40,40*K10/1.5))+IF(S10="",0,IF(S10&lt;=7,20,IF(S10&lt;=30,12,IF(S10&lt;=90,5,0))))+IF(Q10="",0,MIN(15,Q10*5))+IF(O10="",0,MIN(15,O10*30))+IF(E10="Criador(a)",10,IF(E10="Especialista que cria conteúdo",6,4)),0)</f>
        <v>4</v>
      </c>
      <c r="Z10" s="13" t="s">
        <v>159</v>
      </c>
      <c r="AA10" s="13"/>
      <c r="AB10" s="13" t="s">
        <v>113</v>
      </c>
      <c r="AC10" s="13"/>
      <c r="AD10" s="13" t="s">
        <v>976</v>
      </c>
      <c r="AE10" s="13" t="s">
        <v>977</v>
      </c>
      <c r="AF10" s="13" t="s">
        <v>978</v>
      </c>
      <c r="AG10" s="24" t="s">
        <v>979</v>
      </c>
      <c r="AH10" s="13" t="s">
        <v>100</v>
      </c>
      <c r="AI10" s="13" t="s">
        <v>119</v>
      </c>
    </row>
    <row r="11" customFormat="false" ht="15" hidden="false" customHeight="false" outlineLevel="0" collapsed="false">
      <c r="A11" s="13" t="s">
        <v>37</v>
      </c>
      <c r="B11" s="13" t="s">
        <v>36</v>
      </c>
      <c r="C11" s="13" t="s">
        <v>980</v>
      </c>
      <c r="D11" s="13" t="s">
        <v>981</v>
      </c>
      <c r="E11" s="13" t="s">
        <v>30</v>
      </c>
      <c r="F11" s="13" t="s">
        <v>28</v>
      </c>
      <c r="G11" s="14" t="n">
        <v>18101</v>
      </c>
      <c r="H11" s="13" t="s">
        <v>19</v>
      </c>
      <c r="I11" s="15" t="n">
        <v>0.0054</v>
      </c>
      <c r="J11" s="16" t="n">
        <f aca="false">IFERROR(INDEX('Como ler'!$B$20:$B$24,MATCH(H11,'Como ler'!$A$20:$A$24,0)),"")</f>
        <v>0.025</v>
      </c>
      <c r="K11" s="17" t="n">
        <f aca="false">IF(OR(I11="",J11=""),"",I11/J11)</f>
        <v>0.216</v>
      </c>
      <c r="L11" s="14" t="n">
        <v>80</v>
      </c>
      <c r="M11" s="18" t="n">
        <v>14.3</v>
      </c>
      <c r="N11" s="14" t="n">
        <v>903</v>
      </c>
      <c r="O11" s="17" t="n">
        <f aca="false">IF(OR(N11="",G11=0),"",N11/G11)</f>
        <v>0.0498867465885863</v>
      </c>
      <c r="P11" s="19" t="n">
        <v>0.56</v>
      </c>
      <c r="Q11" s="20" t="n">
        <v>14</v>
      </c>
      <c r="R11" s="21" t="n">
        <v>46292</v>
      </c>
      <c r="S11" s="22" t="n">
        <f aca="false">IF(R11="","",'Como ler'!$B$27-R11)</f>
        <v>0</v>
      </c>
      <c r="T11" s="13" t="n">
        <v>0</v>
      </c>
      <c r="U11" s="13"/>
      <c r="V11" s="13" t="s">
        <v>45</v>
      </c>
      <c r="W11" s="13" t="s">
        <v>45</v>
      </c>
      <c r="X11" s="25" t="s">
        <v>104</v>
      </c>
      <c r="Y11" s="13" t="n">
        <f aca="false">ROUND(IF(K11="",0,MIN(40,40*K11/1.5))+IF(S11="",0,IF(S11&lt;=7,20,IF(S11&lt;=30,12,IF(S11&lt;=90,5,0))))+IF(Q11="",0,MIN(15,Q11*5))+IF(O11="",0,MIN(15,O11*30))+IF(E11="Criador(a)",10,IF(E11="Especialista que cria conteúdo",6,4)),0)</f>
        <v>52</v>
      </c>
      <c r="Z11" s="13" t="s">
        <v>105</v>
      </c>
      <c r="AA11" s="13"/>
      <c r="AB11" s="13" t="s">
        <v>113</v>
      </c>
      <c r="AC11" s="13"/>
      <c r="AD11" s="13" t="s">
        <v>982</v>
      </c>
      <c r="AE11" s="13" t="s">
        <v>983</v>
      </c>
      <c r="AF11" s="13" t="s">
        <v>984</v>
      </c>
      <c r="AG11" s="24" t="s">
        <v>985</v>
      </c>
      <c r="AH11" s="13" t="s">
        <v>100</v>
      </c>
      <c r="AI11" s="13"/>
    </row>
    <row r="12" customFormat="false" ht="15" hidden="false" customHeight="false" outlineLevel="0" collapsed="false">
      <c r="A12" s="13" t="s">
        <v>37</v>
      </c>
      <c r="B12" s="13"/>
      <c r="C12" s="13" t="s">
        <v>986</v>
      </c>
      <c r="D12" s="13" t="s">
        <v>987</v>
      </c>
      <c r="E12" s="13" t="s">
        <v>157</v>
      </c>
      <c r="F12" s="13" t="s">
        <v>28</v>
      </c>
      <c r="G12" s="14" t="n">
        <v>11251</v>
      </c>
      <c r="H12" s="13" t="s">
        <v>19</v>
      </c>
      <c r="I12" s="15" t="n">
        <v>0.0154</v>
      </c>
      <c r="J12" s="16" t="n">
        <f aca="false">IFERROR(INDEX('Como ler'!$B$20:$B$24,MATCH(H12,'Como ler'!$A$20:$A$24,0)),"")</f>
        <v>0.025</v>
      </c>
      <c r="K12" s="17" t="n">
        <f aca="false">IF(OR(I12="",J12=""),"",I12/J12)</f>
        <v>0.616</v>
      </c>
      <c r="L12" s="14" t="n">
        <v>148</v>
      </c>
      <c r="M12" s="18" t="n">
        <v>12.4</v>
      </c>
      <c r="N12" s="14" t="n">
        <v>808</v>
      </c>
      <c r="O12" s="17" t="n">
        <f aca="false">IF(OR(N12="",G12=0),"",N12/G12)</f>
        <v>0.0718158385921252</v>
      </c>
      <c r="P12" s="19" t="n">
        <v>0.58</v>
      </c>
      <c r="Q12" s="20" t="n">
        <v>0.1</v>
      </c>
      <c r="R12" s="21" t="n">
        <v>46223</v>
      </c>
      <c r="S12" s="22" t="n">
        <f aca="false">IF(R12="","",'Como ler'!$B$27-R12)</f>
        <v>69</v>
      </c>
      <c r="T12" s="13" t="n">
        <v>0</v>
      </c>
      <c r="U12" s="13"/>
      <c r="V12" s="13" t="s">
        <v>52</v>
      </c>
      <c r="W12" s="13" t="s">
        <v>988</v>
      </c>
      <c r="X12" s="23" t="s">
        <v>94</v>
      </c>
      <c r="Y12" s="13" t="n">
        <f aca="false">ROUND(IF(K12="",0,MIN(40,40*K12/1.5))+IF(S12="",0,IF(S12&lt;=7,20,IF(S12&lt;=30,12,IF(S12&lt;=90,5,0))))+IF(Q12="",0,MIN(15,Q12*5))+IF(O12="",0,MIN(15,O12*30))+IF(E12="Criador(a)",10,IF(E12="Especialista que cria conteúdo",6,4)),0)</f>
        <v>30</v>
      </c>
      <c r="Z12" s="13" t="s">
        <v>95</v>
      </c>
      <c r="AA12" s="13"/>
      <c r="AB12" s="13" t="s">
        <v>113</v>
      </c>
      <c r="AC12" s="13"/>
      <c r="AD12" s="13" t="s">
        <v>989</v>
      </c>
      <c r="AE12" s="13" t="s">
        <v>990</v>
      </c>
      <c r="AF12" s="13" t="s">
        <v>991</v>
      </c>
      <c r="AG12" s="24" t="s">
        <v>992</v>
      </c>
      <c r="AH12" s="13" t="s">
        <v>100</v>
      </c>
      <c r="AI12" s="13"/>
    </row>
    <row r="13" customFormat="false" ht="15" hidden="false" customHeight="false" outlineLevel="0" collapsed="false">
      <c r="A13" s="13" t="s">
        <v>37</v>
      </c>
      <c r="B13" s="13" t="s">
        <v>36</v>
      </c>
      <c r="C13" s="13" t="s">
        <v>993</v>
      </c>
      <c r="D13" s="13" t="s">
        <v>994</v>
      </c>
      <c r="E13" s="13" t="s">
        <v>30</v>
      </c>
      <c r="F13" s="13" t="s">
        <v>28</v>
      </c>
      <c r="G13" s="14" t="n">
        <v>8235</v>
      </c>
      <c r="H13" s="13" t="s">
        <v>19</v>
      </c>
      <c r="I13" s="15" t="n">
        <v>0.0024</v>
      </c>
      <c r="J13" s="16" t="n">
        <f aca="false">IFERROR(INDEX('Como ler'!$B$20:$B$24,MATCH(H13,'Como ler'!$A$20:$A$24,0)),"")</f>
        <v>0.025</v>
      </c>
      <c r="K13" s="17" t="n">
        <f aca="false">IF(OR(I13="",J13=""),"",I13/J13)</f>
        <v>0.096</v>
      </c>
      <c r="L13" s="14" t="n">
        <v>39</v>
      </c>
      <c r="M13" s="18" t="n">
        <v>2.8</v>
      </c>
      <c r="N13" s="14" t="n">
        <v>165</v>
      </c>
      <c r="O13" s="17" t="n">
        <f aca="false">IF(OR(N13="",G13=0),"",N13/G13)</f>
        <v>0.0200364298724954</v>
      </c>
      <c r="P13" s="19" t="n">
        <v>0.75</v>
      </c>
      <c r="Q13" s="20" t="n">
        <v>1.7</v>
      </c>
      <c r="R13" s="21" t="n">
        <v>46292</v>
      </c>
      <c r="S13" s="22" t="n">
        <f aca="false">IF(R13="","",'Como ler'!$B$27-R13)</f>
        <v>0</v>
      </c>
      <c r="T13" s="13" t="n">
        <v>0</v>
      </c>
      <c r="U13" s="13"/>
      <c r="V13" s="13" t="s">
        <v>55</v>
      </c>
      <c r="W13" s="13" t="s">
        <v>55</v>
      </c>
      <c r="X13" s="26" t="s">
        <v>129</v>
      </c>
      <c r="Y13" s="13" t="n">
        <f aca="false">ROUND(IF(K13="",0,MIN(40,40*K13/1.5))+IF(S13="",0,IF(S13&lt;=7,20,IF(S13&lt;=30,12,IF(S13&lt;=90,5,0))))+IF(Q13="",0,MIN(15,Q13*5))+IF(O13="",0,MIN(15,O13*30))+IF(E13="Criador(a)",10,IF(E13="Especialista que cria conteúdo",6,4)),0)</f>
        <v>42</v>
      </c>
      <c r="Z13" s="13" t="s">
        <v>105</v>
      </c>
      <c r="AA13" s="13"/>
      <c r="AB13" s="13" t="s">
        <v>113</v>
      </c>
      <c r="AC13" s="13" t="s">
        <v>181</v>
      </c>
      <c r="AD13" s="13" t="s">
        <v>995</v>
      </c>
      <c r="AE13" s="13" t="s">
        <v>996</v>
      </c>
      <c r="AF13" s="13" t="s">
        <v>997</v>
      </c>
      <c r="AG13" s="24" t="s">
        <v>998</v>
      </c>
      <c r="AH13" s="13" t="s">
        <v>100</v>
      </c>
      <c r="AI13" s="13"/>
    </row>
    <row r="14" customFormat="false" ht="15" hidden="false" customHeight="false" outlineLevel="0" collapsed="false">
      <c r="A14" s="13" t="s">
        <v>37</v>
      </c>
      <c r="B14" s="13" t="s">
        <v>36</v>
      </c>
      <c r="C14" s="13" t="s">
        <v>999</v>
      </c>
      <c r="D14" s="13" t="s">
        <v>1000</v>
      </c>
      <c r="E14" s="13" t="s">
        <v>157</v>
      </c>
      <c r="F14" s="13" t="s">
        <v>28</v>
      </c>
      <c r="G14" s="14" t="n">
        <v>6074</v>
      </c>
      <c r="H14" s="13" t="s">
        <v>19</v>
      </c>
      <c r="I14" s="15" t="n">
        <v>0.0738</v>
      </c>
      <c r="J14" s="16" t="n">
        <f aca="false">IFERROR(INDEX('Como ler'!$B$20:$B$24,MATCH(H14,'Como ler'!$A$20:$A$24,0)),"")</f>
        <v>0.025</v>
      </c>
      <c r="K14" s="17" t="n">
        <f aca="false">IF(OR(I14="",J14=""),"",I14/J14)</f>
        <v>2.952</v>
      </c>
      <c r="L14" s="14" t="n">
        <v>452</v>
      </c>
      <c r="M14" s="18" t="n">
        <v>1.6</v>
      </c>
      <c r="N14" s="14" t="n">
        <v>848</v>
      </c>
      <c r="O14" s="17" t="n">
        <f aca="false">IF(OR(N14="",G14=0),"",N14/G14)</f>
        <v>0.139611458676325</v>
      </c>
      <c r="P14" s="19" t="n">
        <v>0.17</v>
      </c>
      <c r="Q14" s="20" t="n">
        <v>1</v>
      </c>
      <c r="R14" s="21" t="n">
        <v>46289</v>
      </c>
      <c r="S14" s="22" t="n">
        <f aca="false">IF(R14="","",'Como ler'!$B$27-R14)</f>
        <v>3</v>
      </c>
      <c r="T14" s="13" t="n">
        <v>0</v>
      </c>
      <c r="U14" s="13"/>
      <c r="V14" s="13" t="s">
        <v>55</v>
      </c>
      <c r="W14" s="13" t="s">
        <v>55</v>
      </c>
      <c r="X14" s="26" t="s">
        <v>129</v>
      </c>
      <c r="Y14" s="13" t="n">
        <f aca="false">ROUND(IF(K14="",0,MIN(40,40*K14/1.5))+IF(S14="",0,IF(S14&lt;=7,20,IF(S14&lt;=30,12,IF(S14&lt;=90,5,0))))+IF(Q14="",0,MIN(15,Q14*5))+IF(O14="",0,MIN(15,O14*30))+IF(E14="Criador(a)",10,IF(E14="Especialista que cria conteúdo",6,4)),0)</f>
        <v>75</v>
      </c>
      <c r="Z14" s="13"/>
      <c r="AA14" s="13"/>
      <c r="AB14" s="13"/>
      <c r="AC14" s="13"/>
      <c r="AD14" s="13" t="s">
        <v>1001</v>
      </c>
      <c r="AE14" s="13" t="s">
        <v>1002</v>
      </c>
      <c r="AF14" s="13" t="s">
        <v>1003</v>
      </c>
      <c r="AG14" s="24" t="s">
        <v>1004</v>
      </c>
      <c r="AH14" s="13" t="s">
        <v>100</v>
      </c>
      <c r="AI14" s="13"/>
    </row>
    <row r="15" customFormat="false" ht="15" hidden="false" customHeight="false" outlineLevel="0" collapsed="false">
      <c r="A15" s="13" t="s">
        <v>37</v>
      </c>
      <c r="B15" s="13"/>
      <c r="C15" s="13" t="s">
        <v>1005</v>
      </c>
      <c r="D15" s="13" t="s">
        <v>1006</v>
      </c>
      <c r="E15" s="13" t="s">
        <v>30</v>
      </c>
      <c r="F15" s="13" t="s">
        <v>28</v>
      </c>
      <c r="G15" s="14" t="n">
        <v>5677</v>
      </c>
      <c r="H15" s="13" t="s">
        <v>19</v>
      </c>
      <c r="I15" s="15" t="n">
        <v>0.0467</v>
      </c>
      <c r="J15" s="16" t="n">
        <f aca="false">IFERROR(INDEX('Como ler'!$B$20:$B$24,MATCH(H15,'Como ler'!$A$20:$A$24,0)),"")</f>
        <v>0.025</v>
      </c>
      <c r="K15" s="17" t="n">
        <f aca="false">IF(OR(I15="",J15=""),"",I15/J15)</f>
        <v>1.868</v>
      </c>
      <c r="L15" s="14" t="n">
        <v>1006</v>
      </c>
      <c r="M15" s="18" t="n">
        <v>68.9</v>
      </c>
      <c r="N15" s="14" t="n">
        <v>2866</v>
      </c>
      <c r="O15" s="17" t="n">
        <f aca="false">IF(OR(N15="",G15=0),"",N15/G15)</f>
        <v>0.504844107803417</v>
      </c>
      <c r="P15" s="19" t="n">
        <v>0.5</v>
      </c>
      <c r="Q15" s="20" t="n">
        <v>0.2</v>
      </c>
      <c r="R15" s="21" t="n">
        <v>46282</v>
      </c>
      <c r="S15" s="22" t="n">
        <f aca="false">IF(R15="","",'Como ler'!$B$27-R15)</f>
        <v>10</v>
      </c>
      <c r="T15" s="13" t="n">
        <v>0</v>
      </c>
      <c r="U15" s="13"/>
      <c r="V15" s="13" t="s">
        <v>53</v>
      </c>
      <c r="W15" s="13" t="s">
        <v>1007</v>
      </c>
      <c r="X15" s="26" t="s">
        <v>129</v>
      </c>
      <c r="Y15" s="13" t="n">
        <f aca="false">ROUND(IF(K15="",0,MIN(40,40*K15/1.5))+IF(S15="",0,IF(S15&lt;=7,20,IF(S15&lt;=30,12,IF(S15&lt;=90,5,0))))+IF(Q15="",0,MIN(15,Q15*5))+IF(O15="",0,MIN(15,O15*30))+IF(E15="Criador(a)",10,IF(E15="Especialista que cria conteúdo",6,4)),0)</f>
        <v>78</v>
      </c>
      <c r="Z15" s="13"/>
      <c r="AA15" s="13"/>
      <c r="AB15" s="13"/>
      <c r="AC15" s="13"/>
      <c r="AD15" s="13" t="s">
        <v>989</v>
      </c>
      <c r="AE15" s="13" t="s">
        <v>1008</v>
      </c>
      <c r="AF15" s="13" t="s">
        <v>1009</v>
      </c>
      <c r="AG15" s="24" t="s">
        <v>1010</v>
      </c>
      <c r="AH15" s="13" t="s">
        <v>100</v>
      </c>
      <c r="AI15" s="13"/>
    </row>
    <row r="16" customFormat="false" ht="15" hidden="false" customHeight="false" outlineLevel="0" collapsed="false">
      <c r="A16" s="13" t="s">
        <v>37</v>
      </c>
      <c r="B16" s="13"/>
      <c r="C16" s="13" t="s">
        <v>1011</v>
      </c>
      <c r="D16" s="13" t="s">
        <v>1012</v>
      </c>
      <c r="E16" s="13" t="s">
        <v>30</v>
      </c>
      <c r="F16" s="13" t="s">
        <v>29</v>
      </c>
      <c r="G16" s="14" t="n">
        <v>3738</v>
      </c>
      <c r="H16" s="13" t="s">
        <v>19</v>
      </c>
      <c r="I16" s="15" t="n">
        <v>0.0048</v>
      </c>
      <c r="J16" s="16" t="n">
        <f aca="false">IFERROR(INDEX('Como ler'!$B$20:$B$24,MATCH(H16,'Como ler'!$A$20:$A$24,0)),"")</f>
        <v>0.025</v>
      </c>
      <c r="K16" s="17" t="n">
        <f aca="false">IF(OR(I16="",J16=""),"",I16/J16)</f>
        <v>0.192</v>
      </c>
      <c r="L16" s="14" t="n">
        <v>21</v>
      </c>
      <c r="M16" s="18" t="n">
        <v>2</v>
      </c>
      <c r="N16" s="14" t="n">
        <v>210</v>
      </c>
      <c r="O16" s="17" t="n">
        <f aca="false">IF(OR(N16="",G16=0),"",N16/G16)</f>
        <v>0.0561797752808989</v>
      </c>
      <c r="P16" s="19" t="n">
        <v>0.56</v>
      </c>
      <c r="Q16" s="20" t="n">
        <v>0.1</v>
      </c>
      <c r="R16" s="21" t="n">
        <v>46278</v>
      </c>
      <c r="S16" s="22" t="n">
        <f aca="false">IF(R16="","",'Como ler'!$B$27-R16)</f>
        <v>14</v>
      </c>
      <c r="T16" s="13" t="n">
        <v>0</v>
      </c>
      <c r="U16" s="13"/>
      <c r="V16" s="13" t="s">
        <v>52</v>
      </c>
      <c r="W16" s="13" t="s">
        <v>52</v>
      </c>
      <c r="X16" s="23" t="s">
        <v>94</v>
      </c>
      <c r="Y16" s="13" t="n">
        <f aca="false">ROUND(IF(K16="",0,MIN(40,40*K16/1.5))+IF(S16="",0,IF(S16&lt;=7,20,IF(S16&lt;=30,12,IF(S16&lt;=90,5,0))))+IF(Q16="",0,MIN(15,Q16*5))+IF(O16="",0,MIN(15,O16*30))+IF(E16="Criador(a)",10,IF(E16="Especialista que cria conteúdo",6,4)),0)</f>
        <v>29</v>
      </c>
      <c r="Z16" s="13"/>
      <c r="AA16" s="13"/>
      <c r="AB16" s="13"/>
      <c r="AC16" s="13"/>
      <c r="AD16" s="13" t="s">
        <v>1013</v>
      </c>
      <c r="AE16" s="13"/>
      <c r="AF16" s="13" t="s">
        <v>1014</v>
      </c>
      <c r="AG16" s="24" t="s">
        <v>1015</v>
      </c>
      <c r="AH16" s="13" t="s">
        <v>100</v>
      </c>
      <c r="AI16" s="13"/>
    </row>
    <row r="17" customFormat="false" ht="15" hidden="false" customHeight="false" outlineLevel="0" collapsed="false">
      <c r="A17" s="13" t="s">
        <v>37</v>
      </c>
      <c r="B17" s="13" t="s">
        <v>36</v>
      </c>
      <c r="C17" s="13" t="s">
        <v>1016</v>
      </c>
      <c r="D17" s="13" t="s">
        <v>1017</v>
      </c>
      <c r="E17" s="13" t="s">
        <v>157</v>
      </c>
      <c r="F17" s="13" t="s">
        <v>28</v>
      </c>
      <c r="G17" s="14" t="n">
        <v>2586</v>
      </c>
      <c r="H17" s="13" t="s">
        <v>18</v>
      </c>
      <c r="I17" s="15" t="n">
        <v>0.0046</v>
      </c>
      <c r="J17" s="16" t="n">
        <f aca="false">IFERROR(INDEX('Como ler'!$B$20:$B$24,MATCH(H17,'Como ler'!$A$20:$A$24,0)),"")</f>
        <v>0.04</v>
      </c>
      <c r="K17" s="17" t="n">
        <f aca="false">IF(OR(I17="",J17=""),"",I17/J17)</f>
        <v>0.115</v>
      </c>
      <c r="L17" s="14" t="n">
        <v>29</v>
      </c>
      <c r="M17" s="18" t="n">
        <v>2.4</v>
      </c>
      <c r="N17" s="14" t="n">
        <v>234</v>
      </c>
      <c r="O17" s="17" t="n">
        <f aca="false">IF(OR(N17="",G17=0),"",N17/G17)</f>
        <v>0.0904872389791183</v>
      </c>
      <c r="P17" s="19" t="n">
        <v>0.44</v>
      </c>
      <c r="Q17" s="20" t="n">
        <v>2.1</v>
      </c>
      <c r="R17" s="21" t="n">
        <v>46291</v>
      </c>
      <c r="S17" s="22" t="n">
        <f aca="false">IF(R17="","",'Como ler'!$B$27-R17)</f>
        <v>1</v>
      </c>
      <c r="T17" s="13" t="n">
        <v>0</v>
      </c>
      <c r="U17" s="13"/>
      <c r="V17" s="13" t="s">
        <v>55</v>
      </c>
      <c r="W17" s="13" t="s">
        <v>1018</v>
      </c>
      <c r="X17" s="23" t="s">
        <v>94</v>
      </c>
      <c r="Y17" s="13" t="n">
        <f aca="false">ROUND(IF(K17="",0,MIN(40,40*K17/1.5))+IF(S17="",0,IF(S17&lt;=7,20,IF(S17&lt;=30,12,IF(S17&lt;=90,5,0))))+IF(Q17="",0,MIN(15,Q17*5))+IF(O17="",0,MIN(15,O17*30))+IF(E17="Criador(a)",10,IF(E17="Especialista que cria conteúdo",6,4)),0)</f>
        <v>42</v>
      </c>
      <c r="Z17" s="13" t="s">
        <v>399</v>
      </c>
      <c r="AA17" s="13"/>
      <c r="AB17" s="13" t="s">
        <v>113</v>
      </c>
      <c r="AC17" s="13"/>
      <c r="AD17" s="13" t="s">
        <v>1019</v>
      </c>
      <c r="AE17" s="13" t="s">
        <v>1020</v>
      </c>
      <c r="AF17" s="13" t="s">
        <v>1021</v>
      </c>
      <c r="AG17" s="24" t="s">
        <v>1022</v>
      </c>
      <c r="AH17" s="13" t="s">
        <v>100</v>
      </c>
      <c r="AI17" s="13"/>
    </row>
    <row r="18" customFormat="false" ht="15" hidden="false" customHeight="false" outlineLevel="0" collapsed="false">
      <c r="A18" s="13" t="s">
        <v>38</v>
      </c>
      <c r="B18" s="13" t="s">
        <v>1037</v>
      </c>
      <c r="C18" s="13" t="s">
        <v>1038</v>
      </c>
      <c r="D18" s="13" t="s">
        <v>1039</v>
      </c>
      <c r="E18" s="13" t="s">
        <v>157</v>
      </c>
      <c r="F18" s="13" t="s">
        <v>29</v>
      </c>
      <c r="G18" s="14" t="n">
        <v>85000</v>
      </c>
      <c r="H18" s="13" t="s">
        <v>20</v>
      </c>
      <c r="I18" s="15" t="n">
        <v>0.0028</v>
      </c>
      <c r="J18" s="16" t="n">
        <f aca="false">IFERROR(INDEX('Como ler'!$B$20:$B$24,MATCH(H18,'Como ler'!$A$20:$A$24,0)),"")</f>
        <v>0.015</v>
      </c>
      <c r="K18" s="17" t="n">
        <f aca="false">IF(OR(I18="",J18=""),"",I18/J18)</f>
        <v>0.186666666666667</v>
      </c>
      <c r="L18" s="14" t="n">
        <v>274</v>
      </c>
      <c r="M18" s="18" t="n">
        <v>47.7</v>
      </c>
      <c r="N18" s="14" t="n">
        <v>3374</v>
      </c>
      <c r="O18" s="17" t="n">
        <f aca="false">IF(OR(N18="",G18=0),"",N18/G18)</f>
        <v>0.0396941176470588</v>
      </c>
      <c r="P18" s="19" t="n">
        <v>0.56</v>
      </c>
      <c r="Q18" s="20" t="n">
        <v>2.2</v>
      </c>
      <c r="R18" s="21" t="n">
        <v>46291</v>
      </c>
      <c r="S18" s="22" t="n">
        <f aca="false">IF(R18="","",'Como ler'!$B$27-R18)</f>
        <v>1</v>
      </c>
      <c r="T18" s="13" t="n">
        <v>0</v>
      </c>
      <c r="U18" s="13"/>
      <c r="V18" s="13" t="s">
        <v>49</v>
      </c>
      <c r="W18" s="13" t="s">
        <v>49</v>
      </c>
      <c r="X18" s="25" t="s">
        <v>104</v>
      </c>
      <c r="Y18" s="13" t="n">
        <f aca="false">ROUND(IF(K18="",0,MIN(40,40*K18/1.5))+IF(S18="",0,IF(S18&lt;=7,20,IF(S18&lt;=30,12,IF(S18&lt;=90,5,0))))+IF(Q18="",0,MIN(15,Q18*5))+IF(O18="",0,MIN(15,O18*30))+IF(E18="Criador(a)",10,IF(E18="Especialista que cria conteúdo",6,4)),0)</f>
        <v>43</v>
      </c>
      <c r="Z18" s="13"/>
      <c r="AA18" s="13" t="s">
        <v>113</v>
      </c>
      <c r="AB18" s="13" t="s">
        <v>113</v>
      </c>
      <c r="AC18" s="13" t="s">
        <v>114</v>
      </c>
      <c r="AD18" s="13" t="s">
        <v>1040</v>
      </c>
      <c r="AE18" s="13" t="s">
        <v>1041</v>
      </c>
      <c r="AF18" s="13" t="s">
        <v>1042</v>
      </c>
      <c r="AG18" s="24" t="s">
        <v>1043</v>
      </c>
      <c r="AH18" s="13" t="s">
        <v>100</v>
      </c>
      <c r="AI18" s="13"/>
    </row>
    <row r="19" customFormat="false" ht="15" hidden="false" customHeight="false" outlineLevel="0" collapsed="false">
      <c r="A19" s="13" t="s">
        <v>38</v>
      </c>
      <c r="B19" s="13" t="s">
        <v>1037</v>
      </c>
      <c r="C19" s="13" t="s">
        <v>1136</v>
      </c>
      <c r="D19" s="13" t="s">
        <v>1137</v>
      </c>
      <c r="E19" s="13" t="s">
        <v>30</v>
      </c>
      <c r="F19" s="13" t="s">
        <v>29</v>
      </c>
      <c r="G19" s="14" t="n">
        <v>4945</v>
      </c>
      <c r="H19" s="13" t="s">
        <v>19</v>
      </c>
      <c r="I19" s="15" t="n">
        <v>0.0152</v>
      </c>
      <c r="J19" s="16" t="n">
        <f aca="false">IFERROR(INDEX('Como ler'!$B$20:$B$24,MATCH(H19,'Como ler'!$A$20:$A$24,0)),"")</f>
        <v>0.025</v>
      </c>
      <c r="K19" s="17" t="n">
        <f aca="false">IF(OR(I19="",J19=""),"",I19/J19)</f>
        <v>0.608</v>
      </c>
      <c r="L19" s="14" t="n">
        <v>59</v>
      </c>
      <c r="M19" s="18" t="n">
        <v>15.8</v>
      </c>
      <c r="N19" s="14" t="n">
        <v>394</v>
      </c>
      <c r="O19" s="17" t="n">
        <f aca="false">IF(OR(N19="",G19=0),"",N19/G19)</f>
        <v>0.0796764408493428</v>
      </c>
      <c r="P19" s="19" t="n">
        <v>0.22</v>
      </c>
      <c r="Q19" s="20" t="n">
        <v>0.8</v>
      </c>
      <c r="R19" s="21" t="n">
        <v>46292</v>
      </c>
      <c r="S19" s="22" t="n">
        <f aca="false">IF(R19="","",'Como ler'!$B$27-R19)</f>
        <v>0</v>
      </c>
      <c r="T19" s="13" t="n">
        <v>0</v>
      </c>
      <c r="U19" s="13"/>
      <c r="V19" s="13" t="s">
        <v>45</v>
      </c>
      <c r="W19" s="13" t="s">
        <v>45</v>
      </c>
      <c r="X19" s="25" t="s">
        <v>104</v>
      </c>
      <c r="Y19" s="13" t="n">
        <f aca="false">ROUND(IF(K19="",0,MIN(40,40*K19/1.5))+IF(S19="",0,IF(S19&lt;=7,20,IF(S19&lt;=30,12,IF(S19&lt;=90,5,0))))+IF(Q19="",0,MIN(15,Q19*5))+IF(O19="",0,MIN(15,O19*30))+IF(E19="Criador(a)",10,IF(E19="Especialista que cria conteúdo",6,4)),0)</f>
        <v>53</v>
      </c>
      <c r="Z19" s="13" t="s">
        <v>355</v>
      </c>
      <c r="AA19" s="13" t="s">
        <v>113</v>
      </c>
      <c r="AB19" s="13"/>
      <c r="AC19" s="13"/>
      <c r="AD19" s="13" t="s">
        <v>1138</v>
      </c>
      <c r="AE19" s="13" t="s">
        <v>1139</v>
      </c>
      <c r="AF19" s="13" t="s">
        <v>1140</v>
      </c>
      <c r="AG19" s="24" t="s">
        <v>1141</v>
      </c>
      <c r="AH19" s="13" t="s">
        <v>100</v>
      </c>
      <c r="AI19" s="13"/>
    </row>
    <row r="20" customFormat="false" ht="15" hidden="false" customHeight="false" outlineLevel="0" collapsed="false">
      <c r="A20" s="13" t="s">
        <v>38</v>
      </c>
      <c r="B20" s="13" t="s">
        <v>37</v>
      </c>
      <c r="C20" s="13" t="s">
        <v>1178</v>
      </c>
      <c r="D20" s="13" t="s">
        <v>1179</v>
      </c>
      <c r="E20" s="13" t="s">
        <v>30</v>
      </c>
      <c r="F20" s="13" t="s">
        <v>29</v>
      </c>
      <c r="G20" s="14" t="n">
        <v>2646</v>
      </c>
      <c r="H20" s="13" t="s">
        <v>18</v>
      </c>
      <c r="I20" s="15" t="n">
        <v>0.0008</v>
      </c>
      <c r="J20" s="16" t="n">
        <f aca="false">IFERROR(INDEX('Como ler'!$B$20:$B$24,MATCH(H20,'Como ler'!$A$20:$A$24,0)),"")</f>
        <v>0.04</v>
      </c>
      <c r="K20" s="17" t="n">
        <f aca="false">IF(OR(I20="",J20=""),"",I20/J20)</f>
        <v>0.02</v>
      </c>
      <c r="L20" s="14" t="n">
        <v>3</v>
      </c>
      <c r="M20" s="18" t="n">
        <v>0</v>
      </c>
      <c r="N20" s="14"/>
      <c r="O20" s="17" t="str">
        <f aca="false">IF(OR(N20="",G20=0),"",N20/G20)</f>
        <v/>
      </c>
      <c r="P20" s="19" t="n">
        <v>0</v>
      </c>
      <c r="Q20" s="20" t="n">
        <v>5.1</v>
      </c>
      <c r="R20" s="21" t="n">
        <v>46292</v>
      </c>
      <c r="S20" s="22" t="n">
        <f aca="false">IF(R20="","",'Como ler'!$B$27-R20)</f>
        <v>0</v>
      </c>
      <c r="T20" s="13" t="n">
        <v>0</v>
      </c>
      <c r="U20" s="13"/>
      <c r="V20" s="13" t="s">
        <v>48</v>
      </c>
      <c r="W20" s="13" t="s">
        <v>48</v>
      </c>
      <c r="X20" s="25" t="s">
        <v>104</v>
      </c>
      <c r="Y20" s="13" t="n">
        <f aca="false">ROUND(IF(K20="",0,MIN(40,40*K20/1.5))+IF(S20="",0,IF(S20&lt;=7,20,IF(S20&lt;=30,12,IF(S20&lt;=90,5,0))))+IF(Q20="",0,MIN(15,Q20*5))+IF(O20="",0,MIN(15,O20*30))+IF(E20="Criador(a)",10,IF(E20="Especialista que cria conteúdo",6,4)),0)</f>
        <v>46</v>
      </c>
      <c r="Z20" s="13" t="s">
        <v>672</v>
      </c>
      <c r="AA20" s="13"/>
      <c r="AB20" s="13" t="s">
        <v>113</v>
      </c>
      <c r="AC20" s="13"/>
      <c r="AD20" s="13" t="s">
        <v>1180</v>
      </c>
      <c r="AE20" s="13" t="s">
        <v>1181</v>
      </c>
      <c r="AF20" s="13" t="s">
        <v>1182</v>
      </c>
      <c r="AG20" s="24" t="s">
        <v>1183</v>
      </c>
      <c r="AH20" s="13" t="s">
        <v>100</v>
      </c>
      <c r="AI20" s="13"/>
    </row>
    <row r="21" customFormat="false" ht="15" hidden="false" customHeight="false" outlineLevel="0" collapsed="false">
      <c r="A21" s="13" t="s">
        <v>38</v>
      </c>
      <c r="B21" s="13" t="s">
        <v>1205</v>
      </c>
      <c r="C21" s="13" t="s">
        <v>1206</v>
      </c>
      <c r="D21" s="13" t="s">
        <v>1207</v>
      </c>
      <c r="E21" s="13" t="s">
        <v>200</v>
      </c>
      <c r="F21" s="13" t="s">
        <v>201</v>
      </c>
      <c r="G21" s="14" t="n">
        <v>2142</v>
      </c>
      <c r="H21" s="13" t="s">
        <v>18</v>
      </c>
      <c r="I21" s="15" t="n">
        <v>0.0028</v>
      </c>
      <c r="J21" s="16" t="n">
        <f aca="false">IFERROR(INDEX('Como ler'!$B$20:$B$24,MATCH(H21,'Como ler'!$A$20:$A$24,0)),"")</f>
        <v>0.04</v>
      </c>
      <c r="K21" s="17" t="n">
        <f aca="false">IF(OR(I21="",J21=""),"",I21/J21)</f>
        <v>0.07</v>
      </c>
      <c r="L21" s="14" t="n">
        <v>7</v>
      </c>
      <c r="M21" s="18" t="n">
        <v>0</v>
      </c>
      <c r="N21" s="14"/>
      <c r="O21" s="17" t="str">
        <f aca="false">IF(OR(N21="",G21=0),"",N21/G21)</f>
        <v/>
      </c>
      <c r="P21" s="19" t="n">
        <v>0</v>
      </c>
      <c r="Q21" s="20" t="n">
        <v>4.7</v>
      </c>
      <c r="R21" s="21" t="n">
        <v>46091</v>
      </c>
      <c r="S21" s="22" t="n">
        <f aca="false">IF(R21="","",'Como ler'!$B$27-R21)</f>
        <v>201</v>
      </c>
      <c r="T21" s="13" t="n">
        <v>0</v>
      </c>
      <c r="U21" s="13"/>
      <c r="V21" s="13" t="s">
        <v>46</v>
      </c>
      <c r="W21" s="13" t="s">
        <v>779</v>
      </c>
      <c r="X21" s="23" t="s">
        <v>94</v>
      </c>
      <c r="Y21" s="13" t="n">
        <f aca="false">ROUND(IF(K21="",0,MIN(40,40*K21/1.5))+IF(S21="",0,IF(S21&lt;=7,20,IF(S21&lt;=30,12,IF(S21&lt;=90,5,0))))+IF(Q21="",0,MIN(15,Q21*5))+IF(O21="",0,MIN(15,O21*30))+IF(E21="Criador(a)",10,IF(E21="Especialista que cria conteúdo",6,4)),0)</f>
        <v>21</v>
      </c>
      <c r="Z21" s="13" t="s">
        <v>105</v>
      </c>
      <c r="AA21" s="13"/>
      <c r="AB21" s="13"/>
      <c r="AC21" s="13" t="s">
        <v>114</v>
      </c>
      <c r="AD21" s="13" t="s">
        <v>1208</v>
      </c>
      <c r="AE21" s="13" t="s">
        <v>1209</v>
      </c>
      <c r="AF21" s="13" t="s">
        <v>1210</v>
      </c>
      <c r="AG21" s="24" t="s">
        <v>1211</v>
      </c>
      <c r="AH21" s="13" t="s">
        <v>100</v>
      </c>
      <c r="AI21" s="13"/>
    </row>
  </sheetData>
  <autoFilter ref="A1:AI21"/>
  <dataValidations count="1">
    <dataValidation allowBlank="true" errorStyle="stop" operator="between" showDropDown="false" showErrorMessage="false" showInputMessage="false" sqref="AH2:AH21" type="list">
      <formula1>"Não contatada,DM enviada,Respondeu,Negociando,Fechada,Recusou,Descartada"</formula1>
      <formula2>0</formula2>
    </dataValidation>
  </dataValidations>
  <hyperlinks>
    <hyperlink ref="AG2" r:id="rId1" display="https://instagram.com/bccity_"/>
    <hyperlink ref="AG3" r:id="rId2" display="https://instagram.com/letiiciaramosss"/>
    <hyperlink ref="AG4" r:id="rId3" display="https://instagram.com/balneariocamboriubr"/>
    <hyperlink ref="AG5" r:id="rId4" display="https://instagram.com/balneariodicas"/>
    <hyperlink ref="AG6" r:id="rId5" display="https://instagram.com/pippo_ramirez"/>
    <hyperlink ref="AG7" r:id="rId6" display="https://instagram.com/juliovaleriojv"/>
    <hyperlink ref="AG8" r:id="rId7" display="https://instagram.com/rodrigo_silva_ct_cross"/>
    <hyperlink ref="AG9" r:id="rId8" display="https://instagram.com/mi.frias"/>
    <hyperlink ref="AG10" r:id="rId9" display="https://instagram.com/balneariocamboriu_cidade"/>
    <hyperlink ref="AG11" r:id="rId10" display="https://instagram.com/tainaraviau"/>
    <hyperlink ref="AG12" r:id="rId11" display="https://instagram.com/mmichelemartins"/>
    <hyperlink ref="AG13" r:id="rId12" display="https://instagram.com/elainesimoesnane"/>
    <hyperlink ref="AG14" r:id="rId13" display="https://instagram.com/amitalendo"/>
    <hyperlink ref="AG15" r:id="rId14" display="https://instagram.com/luujohann"/>
    <hyperlink ref="AG16" r:id="rId15" display="https://instagram.com/deluccamartins"/>
    <hyperlink ref="AG17" r:id="rId16" display="https://instagram.com/julianamaestri.bessani.psico"/>
    <hyperlink ref="AG18" r:id="rId17" display="https://instagram.com/guimelo8"/>
    <hyperlink ref="AG19" r:id="rId18" display="https://instagram.com/joseelacerdaa"/>
    <hyperlink ref="AG20" r:id="rId19" display="https://instagram.com/rafajenei"/>
    <hyperlink ref="AG21" r:id="rId20" display="https://instagram.com/boas_dicas_b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3" min="10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24"/>
    <col collapsed="false" customWidth="true" hidden="false" outlineLevel="0" max="22" min="22" style="0" width="20"/>
    <col collapsed="false" customWidth="true" hidden="false" outlineLevel="0" max="23" min="23" style="0" width="40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18"/>
    <col collapsed="false" customWidth="true" hidden="false" outlineLevel="0" max="28" min="27" style="0" width="8"/>
    <col collapsed="false" customWidth="true" hidden="false" outlineLevel="0" max="29" min="29" style="0" width="14"/>
    <col collapsed="false" customWidth="true" hidden="false" outlineLevel="0" max="30" min="30" style="0" width="34"/>
    <col collapsed="false" customWidth="true" hidden="false" outlineLevel="0" max="31" min="31" style="0" width="40"/>
    <col collapsed="false" customWidth="true" hidden="false" outlineLevel="0" max="32" min="32" style="0" width="60"/>
    <col collapsed="false" customWidth="true" hidden="false" outlineLevel="0" max="33" min="33" style="0" width="30"/>
    <col collapsed="false" customWidth="true" hidden="false" outlineLevel="0" max="34" min="34" style="0" width="14"/>
    <col collapsed="false" customWidth="true" hidden="false" outlineLevel="0" max="35" min="35" style="0" width="30"/>
  </cols>
  <sheetData>
    <row r="1" customFormat="false" ht="31.5" hidden="false" customHeight="true" outlineLevel="0" collapsed="false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30</v>
      </c>
      <c r="G1" s="12" t="s">
        <v>63</v>
      </c>
      <c r="H1" s="12" t="s">
        <v>16</v>
      </c>
      <c r="I1" s="12" t="s">
        <v>64</v>
      </c>
      <c r="J1" s="12" t="s">
        <v>65</v>
      </c>
      <c r="K1" s="12" t="s">
        <v>66</v>
      </c>
      <c r="L1" s="12" t="s">
        <v>67</v>
      </c>
      <c r="M1" s="12" t="s">
        <v>68</v>
      </c>
      <c r="N1" s="12" t="s">
        <v>69</v>
      </c>
      <c r="O1" s="12" t="s">
        <v>70</v>
      </c>
      <c r="P1" s="12" t="s">
        <v>71</v>
      </c>
      <c r="Q1" s="12" t="s">
        <v>72</v>
      </c>
      <c r="R1" s="12" t="s">
        <v>73</v>
      </c>
      <c r="S1" s="12" t="s">
        <v>74</v>
      </c>
      <c r="T1" s="12" t="s">
        <v>75</v>
      </c>
      <c r="U1" s="12" t="s">
        <v>76</v>
      </c>
      <c r="V1" s="12" t="s">
        <v>77</v>
      </c>
      <c r="W1" s="12" t="s">
        <v>78</v>
      </c>
      <c r="X1" s="12" t="s">
        <v>79</v>
      </c>
      <c r="Y1" s="12" t="s">
        <v>80</v>
      </c>
      <c r="Z1" s="12" t="s">
        <v>81</v>
      </c>
      <c r="AA1" s="12" t="s">
        <v>82</v>
      </c>
      <c r="AB1" s="12" t="s">
        <v>83</v>
      </c>
      <c r="AC1" s="12" t="s">
        <v>84</v>
      </c>
      <c r="AD1" s="12" t="s">
        <v>85</v>
      </c>
      <c r="AE1" s="12" t="s">
        <v>86</v>
      </c>
      <c r="AF1" s="12" t="s">
        <v>87</v>
      </c>
      <c r="AG1" s="12" t="s">
        <v>88</v>
      </c>
      <c r="AH1" s="12" t="s">
        <v>89</v>
      </c>
      <c r="AI1" s="12" t="s">
        <v>90</v>
      </c>
    </row>
    <row r="2" customFormat="false" ht="15" hidden="false" customHeight="false" outlineLevel="0" collapsed="false">
      <c r="A2" s="13" t="s">
        <v>35</v>
      </c>
      <c r="B2" s="13" t="s">
        <v>38</v>
      </c>
      <c r="C2" s="13" t="s">
        <v>186</v>
      </c>
      <c r="D2" s="13" t="s">
        <v>187</v>
      </c>
      <c r="E2" s="13" t="s">
        <v>30</v>
      </c>
      <c r="F2" s="13" t="s">
        <v>29</v>
      </c>
      <c r="G2" s="14" t="n">
        <v>27951</v>
      </c>
      <c r="H2" s="13" t="s">
        <v>19</v>
      </c>
      <c r="I2" s="15" t="n">
        <v>0.0096</v>
      </c>
      <c r="J2" s="16" t="n">
        <f aca="false">IFERROR(INDEX('Como ler'!$B$20:$B$24,MATCH(H2,'Como ler'!$A$20:$A$24,0)),"")</f>
        <v>0.025</v>
      </c>
      <c r="K2" s="17" t="n">
        <f aca="false">IF(OR(I2="",J2=""),"",I2/J2)</f>
        <v>0.384</v>
      </c>
      <c r="L2" s="14" t="n">
        <v>200</v>
      </c>
      <c r="M2" s="18" t="n">
        <v>38.7</v>
      </c>
      <c r="N2" s="14" t="n">
        <v>2117</v>
      </c>
      <c r="O2" s="17" t="n">
        <f aca="false">IF(OR(N2="",G2=0),"",N2/G2)</f>
        <v>0.0757396873099352</v>
      </c>
      <c r="P2" s="19" t="n">
        <v>0.9</v>
      </c>
      <c r="Q2" s="20" t="n">
        <v>1.4</v>
      </c>
      <c r="R2" s="21" t="n">
        <v>46291</v>
      </c>
      <c r="S2" s="22" t="n">
        <f aca="false">IF(R2="","",'Como ler'!$B$27-R2)</f>
        <v>1</v>
      </c>
      <c r="T2" s="13" t="n">
        <v>0</v>
      </c>
      <c r="U2" s="13"/>
      <c r="V2" s="13" t="s">
        <v>54</v>
      </c>
      <c r="W2" s="13" t="s">
        <v>54</v>
      </c>
      <c r="X2" s="25" t="s">
        <v>104</v>
      </c>
      <c r="Y2" s="13" t="n">
        <f aca="false">ROUND(IF(K2="",0,MIN(40,40*K2/1.5))+IF(S2="",0,IF(S2&lt;=7,20,IF(S2&lt;=30,12,IF(S2&lt;=90,5,0))))+IF(Q2="",0,MIN(15,Q2*5))+IF(O2="",0,MIN(15,O2*30))+IF(E2="Criador(a)",10,IF(E2="Especialista que cria conteúdo",6,4)),0)</f>
        <v>50</v>
      </c>
      <c r="Z2" s="13"/>
      <c r="AA2" s="13"/>
      <c r="AB2" s="13"/>
      <c r="AC2" s="13"/>
      <c r="AD2" s="13" t="s">
        <v>188</v>
      </c>
      <c r="AE2" s="13" t="s">
        <v>189</v>
      </c>
      <c r="AF2" s="13" t="s">
        <v>190</v>
      </c>
      <c r="AG2" s="24" t="s">
        <v>191</v>
      </c>
      <c r="AH2" s="13" t="s">
        <v>100</v>
      </c>
      <c r="AI2" s="13"/>
    </row>
    <row r="3" customFormat="false" ht="15" hidden="false" customHeight="false" outlineLevel="0" collapsed="false">
      <c r="A3" s="13" t="s">
        <v>35</v>
      </c>
      <c r="B3" s="13" t="s">
        <v>38</v>
      </c>
      <c r="C3" s="13" t="s">
        <v>346</v>
      </c>
      <c r="D3" s="13" t="s">
        <v>347</v>
      </c>
      <c r="E3" s="13" t="s">
        <v>30</v>
      </c>
      <c r="F3" s="13" t="s">
        <v>28</v>
      </c>
      <c r="G3" s="14" t="n">
        <v>5648</v>
      </c>
      <c r="H3" s="13" t="s">
        <v>19</v>
      </c>
      <c r="I3" s="15" t="n">
        <v>0.0282</v>
      </c>
      <c r="J3" s="16" t="n">
        <f aca="false">IFERROR(INDEX('Como ler'!$B$20:$B$24,MATCH(H3,'Como ler'!$A$20:$A$24,0)),"")</f>
        <v>0.025</v>
      </c>
      <c r="K3" s="17" t="n">
        <f aca="false">IF(OR(I3="",J3=""),"",I3/J3)</f>
        <v>1.128</v>
      </c>
      <c r="L3" s="14" t="n">
        <v>148</v>
      </c>
      <c r="M3" s="18" t="n">
        <v>6.8</v>
      </c>
      <c r="N3" s="14" t="n">
        <v>1382</v>
      </c>
      <c r="O3" s="17" t="n">
        <f aca="false">IF(OR(N3="",G3=0),"",N3/G3)</f>
        <v>0.244688385269122</v>
      </c>
      <c r="P3" s="19" t="n">
        <v>0.5</v>
      </c>
      <c r="Q3" s="20" t="n">
        <v>0.6</v>
      </c>
      <c r="R3" s="21" t="n">
        <v>46290</v>
      </c>
      <c r="S3" s="22" t="n">
        <f aca="false">IF(R3="","",'Como ler'!$B$27-R3)</f>
        <v>2</v>
      </c>
      <c r="T3" s="13" t="n">
        <v>0</v>
      </c>
      <c r="U3" s="13"/>
      <c r="V3" s="13" t="s">
        <v>45</v>
      </c>
      <c r="W3" s="13" t="s">
        <v>45</v>
      </c>
      <c r="X3" s="25" t="s">
        <v>104</v>
      </c>
      <c r="Y3" s="13" t="n">
        <f aca="false">ROUND(IF(K3="",0,MIN(40,40*K3/1.5))+IF(S3="",0,IF(S3&lt;=7,20,IF(S3&lt;=30,12,IF(S3&lt;=90,5,0))))+IF(Q3="",0,MIN(15,Q3*5))+IF(O3="",0,MIN(15,O3*30))+IF(E3="Criador(a)",10,IF(E3="Especialista que cria conteúdo",6,4)),0)</f>
        <v>70</v>
      </c>
      <c r="Z3" s="13" t="s">
        <v>289</v>
      </c>
      <c r="AA3" s="13"/>
      <c r="AB3" s="13"/>
      <c r="AC3" s="13"/>
      <c r="AD3" s="13" t="s">
        <v>348</v>
      </c>
      <c r="AE3" s="13" t="s">
        <v>349</v>
      </c>
      <c r="AF3" s="13" t="s">
        <v>350</v>
      </c>
      <c r="AG3" s="24" t="s">
        <v>351</v>
      </c>
      <c r="AH3" s="13" t="s">
        <v>100</v>
      </c>
      <c r="AI3" s="13"/>
    </row>
    <row r="4" customFormat="false" ht="15" hidden="false" customHeight="false" outlineLevel="0" collapsed="false">
      <c r="A4" s="13" t="s">
        <v>35</v>
      </c>
      <c r="B4" s="13" t="s">
        <v>38</v>
      </c>
      <c r="C4" s="13" t="s">
        <v>352</v>
      </c>
      <c r="D4" s="13" t="s">
        <v>353</v>
      </c>
      <c r="E4" s="13" t="s">
        <v>30</v>
      </c>
      <c r="F4" s="13" t="s">
        <v>29</v>
      </c>
      <c r="G4" s="14" t="n">
        <v>4593</v>
      </c>
      <c r="H4" s="13" t="s">
        <v>19</v>
      </c>
      <c r="I4" s="15" t="n">
        <v>0.047</v>
      </c>
      <c r="J4" s="16" t="n">
        <f aca="false">IFERROR(INDEX('Como ler'!$B$20:$B$24,MATCH(H4,'Como ler'!$A$20:$A$24,0)),"")</f>
        <v>0.025</v>
      </c>
      <c r="K4" s="17" t="n">
        <f aca="false">IF(OR(I4="",J4=""),"",I4/J4)</f>
        <v>1.88</v>
      </c>
      <c r="L4" s="14" t="n">
        <v>285</v>
      </c>
      <c r="M4" s="18" t="n">
        <v>40.6</v>
      </c>
      <c r="N4" s="14" t="n">
        <v>2529</v>
      </c>
      <c r="O4" s="17" t="n">
        <f aca="false">IF(OR(N4="",G4=0),"",N4/G4)</f>
        <v>0.550620509470934</v>
      </c>
      <c r="P4" s="19" t="n">
        <v>0.67</v>
      </c>
      <c r="Q4" s="20" t="n">
        <v>2.3</v>
      </c>
      <c r="R4" s="21" t="n">
        <v>46291</v>
      </c>
      <c r="S4" s="22" t="n">
        <f aca="false">IF(R4="","",'Como ler'!$B$27-R4)</f>
        <v>1</v>
      </c>
      <c r="T4" s="13" t="n">
        <v>0</v>
      </c>
      <c r="U4" s="13"/>
      <c r="V4" s="13" t="s">
        <v>45</v>
      </c>
      <c r="W4" s="13" t="s">
        <v>354</v>
      </c>
      <c r="X4" s="23" t="s">
        <v>94</v>
      </c>
      <c r="Y4" s="13" t="n">
        <f aca="false">ROUND(IF(K4="",0,MIN(40,40*K4/1.5))+IF(S4="",0,IF(S4&lt;=7,20,IF(S4&lt;=30,12,IF(S4&lt;=90,5,0))))+IF(Q4="",0,MIN(15,Q4*5))+IF(O4="",0,MIN(15,O4*30))+IF(E4="Criador(a)",10,IF(E4="Especialista que cria conteúdo",6,4)),0)</f>
        <v>97</v>
      </c>
      <c r="Z4" s="13" t="s">
        <v>355</v>
      </c>
      <c r="AA4" s="13"/>
      <c r="AB4" s="13" t="s">
        <v>113</v>
      </c>
      <c r="AC4" s="13"/>
      <c r="AD4" s="13" t="s">
        <v>356</v>
      </c>
      <c r="AE4" s="13" t="s">
        <v>357</v>
      </c>
      <c r="AF4" s="13" t="s">
        <v>358</v>
      </c>
      <c r="AG4" s="24" t="s">
        <v>359</v>
      </c>
      <c r="AH4" s="13" t="s">
        <v>100</v>
      </c>
      <c r="AI4" s="13"/>
    </row>
    <row r="5" customFormat="false" ht="15" hidden="false" customHeight="false" outlineLevel="0" collapsed="false">
      <c r="A5" s="13" t="s">
        <v>36</v>
      </c>
      <c r="B5" s="13" t="s">
        <v>38</v>
      </c>
      <c r="C5" s="13" t="s">
        <v>482</v>
      </c>
      <c r="D5" s="13" t="s">
        <v>483</v>
      </c>
      <c r="E5" s="13" t="s">
        <v>200</v>
      </c>
      <c r="F5" s="13" t="s">
        <v>484</v>
      </c>
      <c r="G5" s="14" t="n">
        <v>540119</v>
      </c>
      <c r="H5" s="13" t="s">
        <v>22</v>
      </c>
      <c r="I5" s="15" t="n">
        <v>0.0042</v>
      </c>
      <c r="J5" s="16" t="n">
        <f aca="false">IFERROR(INDEX('Como ler'!$B$20:$B$24,MATCH(H5,'Como ler'!$A$20:$A$24,0)),"")</f>
        <v>0.007</v>
      </c>
      <c r="K5" s="17" t="n">
        <f aca="false">IF(OR(I5="",J5=""),"",I5/J5)</f>
        <v>0.6</v>
      </c>
      <c r="L5" s="14" t="n">
        <v>3129</v>
      </c>
      <c r="M5" s="18" t="n">
        <v>70.8</v>
      </c>
      <c r="N5" s="14" t="n">
        <v>53460</v>
      </c>
      <c r="O5" s="17" t="n">
        <f aca="false">IF(OR(N5="",G5=0),"",N5/G5)</f>
        <v>0.098978188140021</v>
      </c>
      <c r="P5" s="19" t="n">
        <v>1</v>
      </c>
      <c r="Q5" s="20" t="n">
        <v>5.5</v>
      </c>
      <c r="R5" s="21" t="n">
        <v>46292</v>
      </c>
      <c r="S5" s="22" t="n">
        <f aca="false">IF(R5="","",'Como ler'!$B$27-R5)</f>
        <v>0</v>
      </c>
      <c r="T5" s="13" t="n">
        <v>0</v>
      </c>
      <c r="U5" s="13"/>
      <c r="V5" s="13" t="s">
        <v>46</v>
      </c>
      <c r="W5" s="13" t="s">
        <v>485</v>
      </c>
      <c r="X5" s="25" t="s">
        <v>104</v>
      </c>
      <c r="Y5" s="13" t="n">
        <f aca="false">ROUND(IF(K5="",0,MIN(40,40*K5/1.5))+IF(S5="",0,IF(S5&lt;=7,20,IF(S5&lt;=30,12,IF(S5&lt;=90,5,0))))+IF(Q5="",0,MIN(15,Q5*5))+IF(O5="",0,MIN(15,O5*30))+IF(E5="Criador(a)",10,IF(E5="Especialista que cria conteúdo",6,4)),0)</f>
        <v>58</v>
      </c>
      <c r="Z5" s="13" t="s">
        <v>105</v>
      </c>
      <c r="AA5" s="13"/>
      <c r="AB5" s="13"/>
      <c r="AC5" s="13" t="s">
        <v>130</v>
      </c>
      <c r="AD5" s="13" t="s">
        <v>486</v>
      </c>
      <c r="AE5" s="13" t="s">
        <v>487</v>
      </c>
      <c r="AF5" s="13" t="s">
        <v>488</v>
      </c>
      <c r="AG5" s="24" t="s">
        <v>489</v>
      </c>
      <c r="AH5" s="13" t="s">
        <v>100</v>
      </c>
      <c r="AI5" s="13"/>
    </row>
    <row r="6" customFormat="false" ht="15" hidden="false" customHeight="false" outlineLevel="0" collapsed="false">
      <c r="A6" s="13" t="s">
        <v>36</v>
      </c>
      <c r="B6" s="13" t="s">
        <v>38</v>
      </c>
      <c r="C6" s="13" t="s">
        <v>514</v>
      </c>
      <c r="D6" s="13" t="s">
        <v>515</v>
      </c>
      <c r="E6" s="13" t="s">
        <v>30</v>
      </c>
      <c r="F6" s="13" t="s">
        <v>28</v>
      </c>
      <c r="G6" s="14" t="n">
        <v>164287</v>
      </c>
      <c r="H6" s="13" t="s">
        <v>21</v>
      </c>
      <c r="I6" s="15" t="n">
        <v>0.0003</v>
      </c>
      <c r="J6" s="16" t="n">
        <f aca="false">IFERROR(INDEX('Como ler'!$B$20:$B$24,MATCH(H6,'Como ler'!$A$20:$A$24,0)),"")</f>
        <v>0.01</v>
      </c>
      <c r="K6" s="17" t="n">
        <f aca="false">IF(OR(I6="",J6=""),"",I6/J6)</f>
        <v>0.03</v>
      </c>
      <c r="L6" s="14" t="n">
        <v>49</v>
      </c>
      <c r="M6" s="18" t="n">
        <v>5.4</v>
      </c>
      <c r="N6" s="14" t="n">
        <v>530</v>
      </c>
      <c r="O6" s="17" t="n">
        <f aca="false">IF(OR(N6="",G6=0),"",N6/G6)</f>
        <v>0.00322606170908228</v>
      </c>
      <c r="P6" s="19" t="n">
        <v>0.5</v>
      </c>
      <c r="Q6" s="20" t="n">
        <v>19.2</v>
      </c>
      <c r="R6" s="21" t="n">
        <v>46292</v>
      </c>
      <c r="S6" s="22" t="n">
        <f aca="false">IF(R6="","",'Como ler'!$B$27-R6)</f>
        <v>0</v>
      </c>
      <c r="T6" s="13" t="n">
        <v>0</v>
      </c>
      <c r="U6" s="13"/>
      <c r="V6" s="13" t="s">
        <v>42</v>
      </c>
      <c r="W6" s="13" t="s">
        <v>516</v>
      </c>
      <c r="X6" s="26" t="s">
        <v>129</v>
      </c>
      <c r="Y6" s="13" t="n">
        <f aca="false">ROUND(IF(K6="",0,MIN(40,40*K6/1.5))+IF(S6="",0,IF(S6&lt;=7,20,IF(S6&lt;=30,12,IF(S6&lt;=90,5,0))))+IF(Q6="",0,MIN(15,Q6*5))+IF(O6="",0,MIN(15,O6*30))+IF(E6="Criador(a)",10,IF(E6="Especialista que cria conteúdo",6,4)),0)</f>
        <v>46</v>
      </c>
      <c r="Z6" s="13" t="s">
        <v>105</v>
      </c>
      <c r="AA6" s="13" t="s">
        <v>113</v>
      </c>
      <c r="AB6" s="13" t="s">
        <v>113</v>
      </c>
      <c r="AC6" s="13" t="s">
        <v>181</v>
      </c>
      <c r="AD6" s="13" t="s">
        <v>517</v>
      </c>
      <c r="AE6" s="13" t="s">
        <v>518</v>
      </c>
      <c r="AF6" s="13" t="s">
        <v>519</v>
      </c>
      <c r="AG6" s="24" t="s">
        <v>520</v>
      </c>
      <c r="AH6" s="13" t="s">
        <v>100</v>
      </c>
      <c r="AI6" s="13"/>
    </row>
    <row r="7" customFormat="false" ht="15" hidden="false" customHeight="false" outlineLevel="0" collapsed="false">
      <c r="A7" s="13" t="s">
        <v>36</v>
      </c>
      <c r="B7" s="13" t="s">
        <v>38</v>
      </c>
      <c r="C7" s="13" t="s">
        <v>620</v>
      </c>
      <c r="D7" s="13" t="s">
        <v>621</v>
      </c>
      <c r="E7" s="13" t="s">
        <v>200</v>
      </c>
      <c r="F7" s="13" t="s">
        <v>201</v>
      </c>
      <c r="G7" s="14" t="n">
        <v>35099</v>
      </c>
      <c r="H7" s="13" t="s">
        <v>20</v>
      </c>
      <c r="I7" s="15" t="n">
        <v>0.0062</v>
      </c>
      <c r="J7" s="16" t="n">
        <f aca="false">IFERROR(INDEX('Como ler'!$B$20:$B$24,MATCH(H7,'Como ler'!$A$20:$A$24,0)),"")</f>
        <v>0.015</v>
      </c>
      <c r="K7" s="17" t="n">
        <f aca="false">IF(OR(I7="",J7=""),"",I7/J7)</f>
        <v>0.413333333333333</v>
      </c>
      <c r="L7" s="14" t="n">
        <v>387</v>
      </c>
      <c r="M7" s="18" t="n">
        <v>34.1</v>
      </c>
      <c r="N7" s="14" t="n">
        <v>1973</v>
      </c>
      <c r="O7" s="17" t="n">
        <f aca="false">IF(OR(N7="",G7=0),"",N7/G7)</f>
        <v>0.056212427704493</v>
      </c>
      <c r="P7" s="19" t="n">
        <v>0.82</v>
      </c>
      <c r="Q7" s="20" t="n">
        <v>0.3</v>
      </c>
      <c r="R7" s="21" t="n">
        <v>46285</v>
      </c>
      <c r="S7" s="22" t="n">
        <f aca="false">IF(R7="","",'Como ler'!$B$27-R7)</f>
        <v>7</v>
      </c>
      <c r="T7" s="13" t="n">
        <v>0</v>
      </c>
      <c r="U7" s="13"/>
      <c r="V7" s="13" t="s">
        <v>57</v>
      </c>
      <c r="W7" s="13" t="s">
        <v>57</v>
      </c>
      <c r="X7" s="25" t="s">
        <v>104</v>
      </c>
      <c r="Y7" s="13" t="n">
        <f aca="false">ROUND(IF(K7="",0,MIN(40,40*K7/1.5))+IF(S7="",0,IF(S7&lt;=7,20,IF(S7&lt;=30,12,IF(S7&lt;=90,5,0))))+IF(Q7="",0,MIN(15,Q7*5))+IF(O7="",0,MIN(15,O7*30))+IF(E7="Criador(a)",10,IF(E7="Especialista que cria conteúdo",6,4)),0)</f>
        <v>38</v>
      </c>
      <c r="Z7" s="13" t="s">
        <v>622</v>
      </c>
      <c r="AA7" s="13"/>
      <c r="AB7" s="13"/>
      <c r="AC7" s="13" t="s">
        <v>130</v>
      </c>
      <c r="AD7" s="13" t="s">
        <v>623</v>
      </c>
      <c r="AE7" s="13" t="s">
        <v>624</v>
      </c>
      <c r="AF7" s="13" t="s">
        <v>625</v>
      </c>
      <c r="AG7" s="24" t="s">
        <v>626</v>
      </c>
      <c r="AH7" s="13" t="s">
        <v>100</v>
      </c>
      <c r="AI7" s="13"/>
    </row>
    <row r="8" customFormat="false" ht="15" hidden="false" customHeight="false" outlineLevel="0" collapsed="false">
      <c r="A8" s="13" t="s">
        <v>36</v>
      </c>
      <c r="B8" s="13" t="s">
        <v>38</v>
      </c>
      <c r="C8" s="13" t="s">
        <v>747</v>
      </c>
      <c r="D8" s="13" t="s">
        <v>748</v>
      </c>
      <c r="E8" s="13" t="s">
        <v>30</v>
      </c>
      <c r="F8" s="13" t="s">
        <v>29</v>
      </c>
      <c r="G8" s="14" t="n">
        <v>8065</v>
      </c>
      <c r="H8" s="13" t="s">
        <v>19</v>
      </c>
      <c r="I8" s="15" t="n">
        <v>0.0161</v>
      </c>
      <c r="J8" s="16" t="n">
        <f aca="false">IFERROR(INDEX('Como ler'!$B$20:$B$24,MATCH(H8,'Como ler'!$A$20:$A$24,0)),"")</f>
        <v>0.025</v>
      </c>
      <c r="K8" s="17" t="n">
        <f aca="false">IF(OR(I8="",J8=""),"",I8/J8)</f>
        <v>0.644</v>
      </c>
      <c r="L8" s="14" t="n">
        <v>102</v>
      </c>
      <c r="M8" s="18" t="n">
        <v>25.8</v>
      </c>
      <c r="N8" s="14" t="n">
        <v>844</v>
      </c>
      <c r="O8" s="17" t="n">
        <f aca="false">IF(OR(N8="",G8=0),"",N8/G8)</f>
        <v>0.104649721016739</v>
      </c>
      <c r="P8" s="19" t="n">
        <v>0.58</v>
      </c>
      <c r="Q8" s="20" t="n">
        <v>0.8</v>
      </c>
      <c r="R8" s="21" t="n">
        <v>46283</v>
      </c>
      <c r="S8" s="22" t="n">
        <f aca="false">IF(R8="","",'Como ler'!$B$27-R8)</f>
        <v>9</v>
      </c>
      <c r="T8" s="13" t="n">
        <v>0</v>
      </c>
      <c r="U8" s="13"/>
      <c r="V8" s="13" t="s">
        <v>45</v>
      </c>
      <c r="W8" s="13" t="s">
        <v>749</v>
      </c>
      <c r="X8" s="23" t="s">
        <v>94</v>
      </c>
      <c r="Y8" s="13" t="n">
        <f aca="false">ROUND(IF(K8="",0,MIN(40,40*K8/1.5))+IF(S8="",0,IF(S8&lt;=7,20,IF(S8&lt;=30,12,IF(S8&lt;=90,5,0))))+IF(Q8="",0,MIN(15,Q8*5))+IF(O8="",0,MIN(15,O8*30))+IF(E8="Criador(a)",10,IF(E8="Especialista que cria conteúdo",6,4)),0)</f>
        <v>46</v>
      </c>
      <c r="Z8" s="13" t="s">
        <v>355</v>
      </c>
      <c r="AA8" s="13"/>
      <c r="AB8" s="13"/>
      <c r="AC8" s="13"/>
      <c r="AD8" s="13" t="s">
        <v>750</v>
      </c>
      <c r="AE8" s="13" t="s">
        <v>751</v>
      </c>
      <c r="AF8" s="13" t="s">
        <v>752</v>
      </c>
      <c r="AG8" s="24" t="s">
        <v>753</v>
      </c>
      <c r="AH8" s="13" t="s">
        <v>100</v>
      </c>
      <c r="AI8" s="13"/>
    </row>
    <row r="9" customFormat="false" ht="15" hidden="false" customHeight="false" outlineLevel="0" collapsed="false">
      <c r="A9" s="13" t="s">
        <v>36</v>
      </c>
      <c r="B9" s="13" t="s">
        <v>38</v>
      </c>
      <c r="C9" s="13" t="s">
        <v>836</v>
      </c>
      <c r="D9" s="13" t="s">
        <v>837</v>
      </c>
      <c r="E9" s="13" t="s">
        <v>157</v>
      </c>
      <c r="F9" s="13" t="s">
        <v>28</v>
      </c>
      <c r="G9" s="14" t="n">
        <v>4387</v>
      </c>
      <c r="H9" s="13" t="s">
        <v>19</v>
      </c>
      <c r="I9" s="15" t="n">
        <v>0.0071</v>
      </c>
      <c r="J9" s="16" t="n">
        <f aca="false">IFERROR(INDEX('Como ler'!$B$20:$B$24,MATCH(H9,'Como ler'!$A$20:$A$24,0)),"")</f>
        <v>0.025</v>
      </c>
      <c r="K9" s="17" t="n">
        <f aca="false">IF(OR(I9="",J9=""),"",I9/J9)</f>
        <v>0.284</v>
      </c>
      <c r="L9" s="14" t="n">
        <v>38</v>
      </c>
      <c r="M9" s="18" t="n">
        <v>3</v>
      </c>
      <c r="N9" s="14" t="n">
        <v>86</v>
      </c>
      <c r="O9" s="17" t="n">
        <f aca="false">IF(OR(N9="",G9=0),"",N9/G9)</f>
        <v>0.0196033736038295</v>
      </c>
      <c r="P9" s="19" t="n">
        <v>0.44</v>
      </c>
      <c r="Q9" s="20" t="n">
        <v>0.7</v>
      </c>
      <c r="R9" s="21" t="n">
        <v>46290</v>
      </c>
      <c r="S9" s="22" t="n">
        <f aca="false">IF(R9="","",'Como ler'!$B$27-R9)</f>
        <v>2</v>
      </c>
      <c r="T9" s="13" t="n">
        <v>0</v>
      </c>
      <c r="U9" s="13"/>
      <c r="V9" s="13" t="s">
        <v>45</v>
      </c>
      <c r="W9" s="13" t="s">
        <v>180</v>
      </c>
      <c r="X9" s="26" t="s">
        <v>129</v>
      </c>
      <c r="Y9" s="13" t="n">
        <f aca="false">ROUND(IF(K9="",0,MIN(40,40*K9/1.5))+IF(S9="",0,IF(S9&lt;=7,20,IF(S9&lt;=30,12,IF(S9&lt;=90,5,0))))+IF(Q9="",0,MIN(15,Q9*5))+IF(O9="",0,MIN(15,O9*30))+IF(E9="Criador(a)",10,IF(E9="Especialista que cria conteúdo",6,4)),0)</f>
        <v>38</v>
      </c>
      <c r="Z9" s="13" t="s">
        <v>430</v>
      </c>
      <c r="AA9" s="13"/>
      <c r="AB9" s="13" t="s">
        <v>113</v>
      </c>
      <c r="AC9" s="13"/>
      <c r="AD9" s="13" t="s">
        <v>838</v>
      </c>
      <c r="AE9" s="13" t="s">
        <v>839</v>
      </c>
      <c r="AF9" s="13" t="s">
        <v>840</v>
      </c>
      <c r="AG9" s="24" t="s">
        <v>841</v>
      </c>
      <c r="AH9" s="13" t="s">
        <v>100</v>
      </c>
      <c r="AI9" s="13"/>
    </row>
    <row r="10" customFormat="false" ht="15" hidden="false" customHeight="false" outlineLevel="0" collapsed="false">
      <c r="A10" s="13" t="s">
        <v>38</v>
      </c>
      <c r="B10" s="13"/>
      <c r="C10" s="13" t="s">
        <v>1023</v>
      </c>
      <c r="D10" s="13" t="s">
        <v>1024</v>
      </c>
      <c r="E10" s="13" t="s">
        <v>200</v>
      </c>
      <c r="F10" s="13" t="s">
        <v>484</v>
      </c>
      <c r="G10" s="14" t="n">
        <v>158820</v>
      </c>
      <c r="H10" s="13" t="s">
        <v>21</v>
      </c>
      <c r="I10" s="15" t="n">
        <v>0.0008</v>
      </c>
      <c r="J10" s="16" t="n">
        <f aca="false">IFERROR(INDEX('Como ler'!$B$20:$B$24,MATCH(H10,'Como ler'!$A$20:$A$24,0)),"")</f>
        <v>0.01</v>
      </c>
      <c r="K10" s="17" t="n">
        <f aca="false">IF(OR(I10="",J10=""),"",I10/J10)</f>
        <v>0.08</v>
      </c>
      <c r="L10" s="14" t="n">
        <v>284</v>
      </c>
      <c r="M10" s="18" t="n">
        <v>6.6</v>
      </c>
      <c r="N10" s="14" t="n">
        <v>1299</v>
      </c>
      <c r="O10" s="17" t="n">
        <f aca="false">IF(OR(N10="",G10=0),"",N10/G10)</f>
        <v>0.00817907064601436</v>
      </c>
      <c r="P10" s="19" t="n">
        <v>1</v>
      </c>
      <c r="Q10" s="20" t="n">
        <v>28</v>
      </c>
      <c r="R10" s="21" t="n">
        <v>46292</v>
      </c>
      <c r="S10" s="22" t="n">
        <f aca="false">IF(R10="","",'Como ler'!$B$27-R10)</f>
        <v>0</v>
      </c>
      <c r="T10" s="13" t="n">
        <v>0</v>
      </c>
      <c r="U10" s="13"/>
      <c r="V10" s="13" t="s">
        <v>54</v>
      </c>
      <c r="W10" s="13" t="s">
        <v>1025</v>
      </c>
      <c r="X10" s="25" t="s">
        <v>104</v>
      </c>
      <c r="Y10" s="13" t="n">
        <f aca="false">ROUND(IF(K10="",0,MIN(40,40*K10/1.5))+IF(S10="",0,IF(S10&lt;=7,20,IF(S10&lt;=30,12,IF(S10&lt;=90,5,0))))+IF(Q10="",0,MIN(15,Q10*5))+IF(O10="",0,MIN(15,O10*30))+IF(E10="Criador(a)",10,IF(E10="Especialista que cria conteúdo",6,4)),0)</f>
        <v>41</v>
      </c>
      <c r="Z10" s="13"/>
      <c r="AA10" s="13" t="s">
        <v>113</v>
      </c>
      <c r="AB10" s="13" t="s">
        <v>113</v>
      </c>
      <c r="AC10" s="13"/>
      <c r="AD10" s="13" t="s">
        <v>1026</v>
      </c>
      <c r="AE10" s="13" t="s">
        <v>1027</v>
      </c>
      <c r="AF10" s="13" t="s">
        <v>1028</v>
      </c>
      <c r="AG10" s="24" t="s">
        <v>1029</v>
      </c>
      <c r="AH10" s="13" t="s">
        <v>100</v>
      </c>
      <c r="AI10" s="13"/>
    </row>
    <row r="11" customFormat="false" ht="15" hidden="false" customHeight="false" outlineLevel="0" collapsed="false">
      <c r="A11" s="13" t="s">
        <v>38</v>
      </c>
      <c r="B11" s="13"/>
      <c r="C11" s="13" t="s">
        <v>1030</v>
      </c>
      <c r="D11" s="13" t="s">
        <v>1031</v>
      </c>
      <c r="E11" s="13" t="s">
        <v>30</v>
      </c>
      <c r="F11" s="13" t="s">
        <v>28</v>
      </c>
      <c r="G11" s="14" t="n">
        <v>116397</v>
      </c>
      <c r="H11" s="13" t="s">
        <v>21</v>
      </c>
      <c r="I11" s="15" t="n">
        <v>0.0093</v>
      </c>
      <c r="J11" s="16" t="n">
        <f aca="false">IFERROR(INDEX('Como ler'!$B$20:$B$24,MATCH(H11,'Como ler'!$A$20:$A$24,0)),"")</f>
        <v>0.01</v>
      </c>
      <c r="K11" s="17" t="n">
        <f aca="false">IF(OR(I11="",J11=""),"",I11/J11)</f>
        <v>0.93</v>
      </c>
      <c r="L11" s="14" t="n">
        <v>1533</v>
      </c>
      <c r="M11" s="18" t="n">
        <v>102.1</v>
      </c>
      <c r="N11" s="14" t="n">
        <v>6842</v>
      </c>
      <c r="O11" s="17" t="n">
        <f aca="false">IF(OR(N11="",G11=0),"",N11/G11)</f>
        <v>0.0587815837177934</v>
      </c>
      <c r="P11" s="19" t="n">
        <v>0.22</v>
      </c>
      <c r="Q11" s="20" t="n">
        <v>2</v>
      </c>
      <c r="R11" s="21" t="n">
        <v>46287</v>
      </c>
      <c r="S11" s="22" t="n">
        <f aca="false">IF(R11="","",'Como ler'!$B$27-R11)</f>
        <v>5</v>
      </c>
      <c r="T11" s="13" t="n">
        <v>1</v>
      </c>
      <c r="U11" s="13"/>
      <c r="V11" s="13" t="s">
        <v>44</v>
      </c>
      <c r="W11" s="13" t="s">
        <v>1032</v>
      </c>
      <c r="X11" s="26" t="s">
        <v>129</v>
      </c>
      <c r="Y11" s="13" t="n">
        <f aca="false">ROUND(IF(K11="",0,MIN(40,40*K11/1.5))+IF(S11="",0,IF(S11&lt;=7,20,IF(S11&lt;=30,12,IF(S11&lt;=90,5,0))))+IF(Q11="",0,MIN(15,Q11*5))+IF(O11="",0,MIN(15,O11*30))+IF(E11="Criador(a)",10,IF(E11="Especialista que cria conteúdo",6,4)),0)</f>
        <v>67</v>
      </c>
      <c r="Z11" s="13" t="s">
        <v>289</v>
      </c>
      <c r="AA11" s="13" t="s">
        <v>113</v>
      </c>
      <c r="AB11" s="13"/>
      <c r="AC11" s="13" t="s">
        <v>181</v>
      </c>
      <c r="AD11" s="13" t="s">
        <v>1033</v>
      </c>
      <c r="AE11" s="13" t="s">
        <v>1034</v>
      </c>
      <c r="AF11" s="13" t="s">
        <v>1035</v>
      </c>
      <c r="AG11" s="24" t="s">
        <v>1036</v>
      </c>
      <c r="AH11" s="13" t="s">
        <v>100</v>
      </c>
      <c r="AI11" s="13"/>
    </row>
    <row r="12" customFormat="false" ht="15" hidden="false" customHeight="false" outlineLevel="0" collapsed="false">
      <c r="A12" s="13" t="s">
        <v>38</v>
      </c>
      <c r="B12" s="13" t="s">
        <v>1037</v>
      </c>
      <c r="C12" s="13" t="s">
        <v>1038</v>
      </c>
      <c r="D12" s="13" t="s">
        <v>1039</v>
      </c>
      <c r="E12" s="13" t="s">
        <v>157</v>
      </c>
      <c r="F12" s="13" t="s">
        <v>29</v>
      </c>
      <c r="G12" s="14" t="n">
        <v>85000</v>
      </c>
      <c r="H12" s="13" t="s">
        <v>20</v>
      </c>
      <c r="I12" s="15" t="n">
        <v>0.0028</v>
      </c>
      <c r="J12" s="16" t="n">
        <f aca="false">IFERROR(INDEX('Como ler'!$B$20:$B$24,MATCH(H12,'Como ler'!$A$20:$A$24,0)),"")</f>
        <v>0.015</v>
      </c>
      <c r="K12" s="17" t="n">
        <f aca="false">IF(OR(I12="",J12=""),"",I12/J12)</f>
        <v>0.186666666666667</v>
      </c>
      <c r="L12" s="14" t="n">
        <v>274</v>
      </c>
      <c r="M12" s="18" t="n">
        <v>47.7</v>
      </c>
      <c r="N12" s="14" t="n">
        <v>3374</v>
      </c>
      <c r="O12" s="17" t="n">
        <f aca="false">IF(OR(N12="",G12=0),"",N12/G12)</f>
        <v>0.0396941176470588</v>
      </c>
      <c r="P12" s="19" t="n">
        <v>0.56</v>
      </c>
      <c r="Q12" s="20" t="n">
        <v>2.2</v>
      </c>
      <c r="R12" s="21" t="n">
        <v>46291</v>
      </c>
      <c r="S12" s="22" t="n">
        <f aca="false">IF(R12="","",'Como ler'!$B$27-R12)</f>
        <v>1</v>
      </c>
      <c r="T12" s="13" t="n">
        <v>0</v>
      </c>
      <c r="U12" s="13"/>
      <c r="V12" s="13" t="s">
        <v>49</v>
      </c>
      <c r="W12" s="13" t="s">
        <v>49</v>
      </c>
      <c r="X12" s="25" t="s">
        <v>104</v>
      </c>
      <c r="Y12" s="13" t="n">
        <f aca="false">ROUND(IF(K12="",0,MIN(40,40*K12/1.5))+IF(S12="",0,IF(S12&lt;=7,20,IF(S12&lt;=30,12,IF(S12&lt;=90,5,0))))+IF(Q12="",0,MIN(15,Q12*5))+IF(O12="",0,MIN(15,O12*30))+IF(E12="Criador(a)",10,IF(E12="Especialista que cria conteúdo",6,4)),0)</f>
        <v>43</v>
      </c>
      <c r="Z12" s="13"/>
      <c r="AA12" s="13" t="s">
        <v>113</v>
      </c>
      <c r="AB12" s="13" t="s">
        <v>113</v>
      </c>
      <c r="AC12" s="13" t="s">
        <v>114</v>
      </c>
      <c r="AD12" s="13" t="s">
        <v>1040</v>
      </c>
      <c r="AE12" s="13" t="s">
        <v>1041</v>
      </c>
      <c r="AF12" s="13" t="s">
        <v>1042</v>
      </c>
      <c r="AG12" s="24" t="s">
        <v>1043</v>
      </c>
      <c r="AH12" s="13" t="s">
        <v>100</v>
      </c>
      <c r="AI12" s="13"/>
    </row>
    <row r="13" customFormat="false" ht="15" hidden="false" customHeight="false" outlineLevel="0" collapsed="false">
      <c r="A13" s="13" t="s">
        <v>38</v>
      </c>
      <c r="B13" s="13"/>
      <c r="C13" s="13" t="s">
        <v>1044</v>
      </c>
      <c r="D13" s="13" t="s">
        <v>1045</v>
      </c>
      <c r="E13" s="13" t="s">
        <v>30</v>
      </c>
      <c r="F13" s="13" t="s">
        <v>28</v>
      </c>
      <c r="G13" s="14" t="n">
        <v>79919</v>
      </c>
      <c r="H13" s="13" t="s">
        <v>20</v>
      </c>
      <c r="I13" s="15" t="n">
        <v>0.0032</v>
      </c>
      <c r="J13" s="16" t="n">
        <f aca="false">IFERROR(INDEX('Como ler'!$B$20:$B$24,MATCH(H13,'Como ler'!$A$20:$A$24,0)),"")</f>
        <v>0.015</v>
      </c>
      <c r="K13" s="17" t="n">
        <f aca="false">IF(OR(I13="",J13=""),"",I13/J13)</f>
        <v>0.213333333333333</v>
      </c>
      <c r="L13" s="14" t="n">
        <v>249</v>
      </c>
      <c r="M13" s="18" t="n">
        <v>18.2</v>
      </c>
      <c r="N13" s="14" t="n">
        <v>2486</v>
      </c>
      <c r="O13" s="17" t="n">
        <f aca="false">IF(OR(N13="",G13=0),"",N13/G13)</f>
        <v>0.0311064953265181</v>
      </c>
      <c r="P13" s="19" t="n">
        <v>0.83</v>
      </c>
      <c r="Q13" s="20" t="n">
        <v>0.9</v>
      </c>
      <c r="R13" s="21" t="n">
        <v>46292</v>
      </c>
      <c r="S13" s="22" t="n">
        <f aca="false">IF(R13="","",'Como ler'!$B$27-R13)</f>
        <v>0</v>
      </c>
      <c r="T13" s="13" t="n">
        <v>0</v>
      </c>
      <c r="U13" s="13"/>
      <c r="V13" s="13" t="s">
        <v>42</v>
      </c>
      <c r="W13" s="13" t="s">
        <v>1046</v>
      </c>
      <c r="X13" s="23" t="s">
        <v>94</v>
      </c>
      <c r="Y13" s="13" t="n">
        <f aca="false">ROUND(IF(K13="",0,MIN(40,40*K13/1.5))+IF(S13="",0,IF(S13&lt;=7,20,IF(S13&lt;=30,12,IF(S13&lt;=90,5,0))))+IF(Q13="",0,MIN(15,Q13*5))+IF(O13="",0,MIN(15,O13*30))+IF(E13="Criador(a)",10,IF(E13="Especialista que cria conteúdo",6,4)),0)</f>
        <v>41</v>
      </c>
      <c r="Z13" s="13"/>
      <c r="AA13" s="13" t="s">
        <v>113</v>
      </c>
      <c r="AB13" s="13" t="s">
        <v>113</v>
      </c>
      <c r="AC13" s="13" t="s">
        <v>114</v>
      </c>
      <c r="AD13" s="13" t="s">
        <v>1047</v>
      </c>
      <c r="AE13" s="13" t="s">
        <v>1048</v>
      </c>
      <c r="AF13" s="13" t="s">
        <v>1049</v>
      </c>
      <c r="AG13" s="24" t="s">
        <v>1050</v>
      </c>
      <c r="AH13" s="13" t="s">
        <v>100</v>
      </c>
      <c r="AI13" s="13"/>
    </row>
    <row r="14" customFormat="false" ht="15" hidden="false" customHeight="false" outlineLevel="0" collapsed="false">
      <c r="A14" s="13" t="s">
        <v>38</v>
      </c>
      <c r="B14" s="13"/>
      <c r="C14" s="13" t="s">
        <v>1051</v>
      </c>
      <c r="D14" s="13" t="s">
        <v>1052</v>
      </c>
      <c r="E14" s="13" t="s">
        <v>200</v>
      </c>
      <c r="F14" s="13" t="s">
        <v>201</v>
      </c>
      <c r="G14" s="14" t="n">
        <v>71724</v>
      </c>
      <c r="H14" s="13" t="s">
        <v>20</v>
      </c>
      <c r="I14" s="15" t="n">
        <v>0.0071</v>
      </c>
      <c r="J14" s="16" t="n">
        <f aca="false">IFERROR(INDEX('Como ler'!$B$20:$B$24,MATCH(H14,'Como ler'!$A$20:$A$24,0)),"")</f>
        <v>0.015</v>
      </c>
      <c r="K14" s="17" t="n">
        <f aca="false">IF(OR(I14="",J14=""),"",I14/J14)</f>
        <v>0.473333333333333</v>
      </c>
      <c r="L14" s="14" t="n">
        <v>672</v>
      </c>
      <c r="M14" s="18" t="n">
        <v>16.5</v>
      </c>
      <c r="N14" s="14" t="n">
        <v>3072</v>
      </c>
      <c r="O14" s="17" t="n">
        <f aca="false">IF(OR(N14="",G14=0),"",N14/G14)</f>
        <v>0.0428308515977915</v>
      </c>
      <c r="P14" s="19" t="n">
        <v>1</v>
      </c>
      <c r="Q14" s="20" t="n">
        <v>11.7</v>
      </c>
      <c r="R14" s="21" t="n">
        <v>46292</v>
      </c>
      <c r="S14" s="22" t="n">
        <f aca="false">IF(R14="","",'Como ler'!$B$27-R14)</f>
        <v>0</v>
      </c>
      <c r="T14" s="13" t="n">
        <v>0</v>
      </c>
      <c r="U14" s="13"/>
      <c r="V14" s="13" t="s">
        <v>47</v>
      </c>
      <c r="W14" s="13" t="s">
        <v>603</v>
      </c>
      <c r="X14" s="25" t="s">
        <v>104</v>
      </c>
      <c r="Y14" s="13" t="n">
        <f aca="false">ROUND(IF(K14="",0,MIN(40,40*K14/1.5))+IF(S14="",0,IF(S14&lt;=7,20,IF(S14&lt;=30,12,IF(S14&lt;=90,5,0))))+IF(Q14="",0,MIN(15,Q14*5))+IF(O14="",0,MIN(15,O14*30))+IF(E14="Criador(a)",10,IF(E14="Especialista que cria conteúdo",6,4)),0)</f>
        <v>53</v>
      </c>
      <c r="Z14" s="13"/>
      <c r="AA14" s="13"/>
      <c r="AB14" s="13" t="s">
        <v>113</v>
      </c>
      <c r="AC14" s="13"/>
      <c r="AD14" s="13" t="s">
        <v>1053</v>
      </c>
      <c r="AE14" s="13" t="s">
        <v>1054</v>
      </c>
      <c r="AF14" s="13" t="s">
        <v>1055</v>
      </c>
      <c r="AG14" s="24" t="s">
        <v>1056</v>
      </c>
      <c r="AH14" s="13" t="s">
        <v>100</v>
      </c>
      <c r="AI14" s="13"/>
    </row>
    <row r="15" customFormat="false" ht="15" hidden="false" customHeight="false" outlineLevel="0" collapsed="false">
      <c r="A15" s="13" t="s">
        <v>38</v>
      </c>
      <c r="B15" s="13"/>
      <c r="C15" s="13" t="s">
        <v>1057</v>
      </c>
      <c r="D15" s="13" t="s">
        <v>1058</v>
      </c>
      <c r="E15" s="13" t="s">
        <v>200</v>
      </c>
      <c r="F15" s="13" t="s">
        <v>201</v>
      </c>
      <c r="G15" s="14" t="n">
        <v>60642</v>
      </c>
      <c r="H15" s="13" t="s">
        <v>20</v>
      </c>
      <c r="I15" s="15" t="n">
        <v>0.0053</v>
      </c>
      <c r="J15" s="16" t="n">
        <f aca="false">IFERROR(INDEX('Como ler'!$B$20:$B$24,MATCH(H15,'Como ler'!$A$20:$A$24,0)),"")</f>
        <v>0.015</v>
      </c>
      <c r="K15" s="17" t="n">
        <f aca="false">IF(OR(I15="",J15=""),"",I15/J15)</f>
        <v>0.353333333333333</v>
      </c>
      <c r="L15" s="14" t="n">
        <v>384</v>
      </c>
      <c r="M15" s="18" t="n">
        <v>16</v>
      </c>
      <c r="N15" s="14" t="n">
        <v>2362</v>
      </c>
      <c r="O15" s="17" t="n">
        <f aca="false">IF(OR(N15="",G15=0),"",N15/G15)</f>
        <v>0.0389499027076943</v>
      </c>
      <c r="P15" s="19" t="n">
        <v>0.92</v>
      </c>
      <c r="Q15" s="20" t="n">
        <v>0.6</v>
      </c>
      <c r="R15" s="21" t="n">
        <v>46292</v>
      </c>
      <c r="S15" s="22" t="n">
        <f aca="false">IF(R15="","",'Como ler'!$B$27-R15)</f>
        <v>0</v>
      </c>
      <c r="T15" s="13" t="n">
        <v>0</v>
      </c>
      <c r="U15" s="13"/>
      <c r="V15" s="13" t="s">
        <v>47</v>
      </c>
      <c r="W15" s="13" t="s">
        <v>975</v>
      </c>
      <c r="X15" s="25" t="s">
        <v>104</v>
      </c>
      <c r="Y15" s="13" t="n">
        <f aca="false">ROUND(IF(K15="",0,MIN(40,40*K15/1.5))+IF(S15="",0,IF(S15&lt;=7,20,IF(S15&lt;=30,12,IF(S15&lt;=90,5,0))))+IF(Q15="",0,MIN(15,Q15*5))+IF(O15="",0,MIN(15,O15*30))+IF(E15="Criador(a)",10,IF(E15="Especialista que cria conteúdo",6,4)),0)</f>
        <v>38</v>
      </c>
      <c r="Z15" s="13" t="s">
        <v>159</v>
      </c>
      <c r="AA15" s="13" t="s">
        <v>113</v>
      </c>
      <c r="AB15" s="13" t="s">
        <v>113</v>
      </c>
      <c r="AC15" s="13"/>
      <c r="AD15" s="13" t="s">
        <v>1059</v>
      </c>
      <c r="AE15" s="13" t="s">
        <v>1060</v>
      </c>
      <c r="AF15" s="13" t="s">
        <v>1061</v>
      </c>
      <c r="AG15" s="24" t="s">
        <v>1062</v>
      </c>
      <c r="AH15" s="13" t="s">
        <v>100</v>
      </c>
      <c r="AI15" s="13"/>
    </row>
    <row r="16" customFormat="false" ht="15" hidden="false" customHeight="false" outlineLevel="0" collapsed="false">
      <c r="A16" s="13" t="s">
        <v>38</v>
      </c>
      <c r="B16" s="13"/>
      <c r="C16" s="13" t="s">
        <v>1063</v>
      </c>
      <c r="D16" s="13" t="s">
        <v>1064</v>
      </c>
      <c r="E16" s="13" t="s">
        <v>200</v>
      </c>
      <c r="F16" s="13" t="s">
        <v>201</v>
      </c>
      <c r="G16" s="14" t="n">
        <v>49635</v>
      </c>
      <c r="H16" s="13" t="s">
        <v>20</v>
      </c>
      <c r="I16" s="15" t="n">
        <v>0.004</v>
      </c>
      <c r="J16" s="16" t="n">
        <f aca="false">IFERROR(INDEX('Como ler'!$B$20:$B$24,MATCH(H16,'Como ler'!$A$20:$A$24,0)),"")</f>
        <v>0.015</v>
      </c>
      <c r="K16" s="17" t="n">
        <f aca="false">IF(OR(I16="",J16=""),"",I16/J16)</f>
        <v>0.266666666666667</v>
      </c>
      <c r="L16" s="14" t="n">
        <v>339</v>
      </c>
      <c r="M16" s="18" t="n">
        <v>19.8</v>
      </c>
      <c r="N16" s="14" t="n">
        <v>3163</v>
      </c>
      <c r="O16" s="17" t="n">
        <f aca="false">IF(OR(N16="",G16=0),"",N16/G16)</f>
        <v>0.0637251939155838</v>
      </c>
      <c r="P16" s="19" t="n">
        <v>0.75</v>
      </c>
      <c r="Q16" s="20" t="n">
        <v>38.5</v>
      </c>
      <c r="R16" s="21" t="n">
        <v>46292</v>
      </c>
      <c r="S16" s="22" t="n">
        <f aca="false">IF(R16="","",'Como ler'!$B$27-R16)</f>
        <v>0</v>
      </c>
      <c r="T16" s="13" t="n">
        <v>0</v>
      </c>
      <c r="U16" s="13"/>
      <c r="V16" s="13" t="s">
        <v>47</v>
      </c>
      <c r="W16" s="13" t="s">
        <v>1065</v>
      </c>
      <c r="X16" s="25" t="s">
        <v>104</v>
      </c>
      <c r="Y16" s="13" t="n">
        <f aca="false">ROUND(IF(K16="",0,MIN(40,40*K16/1.5))+IF(S16="",0,IF(S16&lt;=7,20,IF(S16&lt;=30,12,IF(S16&lt;=90,5,0))))+IF(Q16="",0,MIN(15,Q16*5))+IF(O16="",0,MIN(15,O16*30))+IF(E16="Criador(a)",10,IF(E16="Especialista que cria conteúdo",6,4)),0)</f>
        <v>48</v>
      </c>
      <c r="Z16" s="13" t="s">
        <v>105</v>
      </c>
      <c r="AA16" s="13"/>
      <c r="AB16" s="13"/>
      <c r="AC16" s="13" t="s">
        <v>130</v>
      </c>
      <c r="AD16" s="13" t="s">
        <v>1066</v>
      </c>
      <c r="AE16" s="13" t="s">
        <v>1067</v>
      </c>
      <c r="AF16" s="13" t="s">
        <v>1068</v>
      </c>
      <c r="AG16" s="24" t="s">
        <v>1069</v>
      </c>
      <c r="AH16" s="13" t="s">
        <v>100</v>
      </c>
      <c r="AI16" s="13"/>
    </row>
    <row r="17" customFormat="false" ht="15" hidden="false" customHeight="false" outlineLevel="0" collapsed="false">
      <c r="A17" s="13" t="s">
        <v>38</v>
      </c>
      <c r="B17" s="13"/>
      <c r="C17" s="13" t="s">
        <v>1070</v>
      </c>
      <c r="D17" s="13" t="s">
        <v>1071</v>
      </c>
      <c r="E17" s="13" t="s">
        <v>30</v>
      </c>
      <c r="F17" s="13" t="s">
        <v>29</v>
      </c>
      <c r="G17" s="14" t="n">
        <v>48699</v>
      </c>
      <c r="H17" s="13" t="s">
        <v>20</v>
      </c>
      <c r="I17" s="15" t="n">
        <v>0.0036</v>
      </c>
      <c r="J17" s="16" t="n">
        <f aca="false">IFERROR(INDEX('Como ler'!$B$20:$B$24,MATCH(H17,'Como ler'!$A$20:$A$24,0)),"")</f>
        <v>0.015</v>
      </c>
      <c r="K17" s="17" t="n">
        <f aca="false">IF(OR(I17="",J17=""),"",I17/J17)</f>
        <v>0.24</v>
      </c>
      <c r="L17" s="14" t="n">
        <v>140</v>
      </c>
      <c r="M17" s="18" t="n">
        <v>29.9</v>
      </c>
      <c r="N17" s="14" t="n">
        <v>1936</v>
      </c>
      <c r="O17" s="17" t="n">
        <f aca="false">IF(OR(N17="",G17=0),"",N17/G17)</f>
        <v>0.0397544097414731</v>
      </c>
      <c r="P17" s="19" t="n">
        <v>0.67</v>
      </c>
      <c r="Q17" s="20" t="n">
        <v>1.5</v>
      </c>
      <c r="R17" s="21" t="n">
        <v>46290</v>
      </c>
      <c r="S17" s="22" t="n">
        <f aca="false">IF(R17="","",'Como ler'!$B$27-R17)</f>
        <v>2</v>
      </c>
      <c r="T17" s="13" t="n">
        <v>0</v>
      </c>
      <c r="U17" s="13"/>
      <c r="V17" s="13" t="s">
        <v>48</v>
      </c>
      <c r="W17" s="13" t="s">
        <v>48</v>
      </c>
      <c r="X17" s="25" t="s">
        <v>104</v>
      </c>
      <c r="Y17" s="13" t="n">
        <f aca="false">ROUND(IF(K17="",0,MIN(40,40*K17/1.5))+IF(S17="",0,IF(S17&lt;=7,20,IF(S17&lt;=30,12,IF(S17&lt;=90,5,0))))+IF(Q17="",0,MIN(15,Q17*5))+IF(O17="",0,MIN(15,O17*30))+IF(E17="Criador(a)",10,IF(E17="Especialista que cria conteúdo",6,4)),0)</f>
        <v>45</v>
      </c>
      <c r="Z17" s="13" t="s">
        <v>672</v>
      </c>
      <c r="AA17" s="13" t="s">
        <v>113</v>
      </c>
      <c r="AB17" s="13" t="s">
        <v>113</v>
      </c>
      <c r="AC17" s="13" t="s">
        <v>114</v>
      </c>
      <c r="AD17" s="13" t="s">
        <v>1072</v>
      </c>
      <c r="AE17" s="13" t="s">
        <v>1073</v>
      </c>
      <c r="AF17" s="13" t="s">
        <v>1074</v>
      </c>
      <c r="AG17" s="24" t="s">
        <v>1075</v>
      </c>
      <c r="AH17" s="13" t="s">
        <v>100</v>
      </c>
      <c r="AI17" s="13"/>
    </row>
    <row r="18" customFormat="false" ht="15" hidden="false" customHeight="false" outlineLevel="0" collapsed="false">
      <c r="A18" s="13" t="s">
        <v>38</v>
      </c>
      <c r="B18" s="13"/>
      <c r="C18" s="13" t="s">
        <v>1076</v>
      </c>
      <c r="D18" s="13" t="s">
        <v>1077</v>
      </c>
      <c r="E18" s="13" t="s">
        <v>200</v>
      </c>
      <c r="F18" s="13" t="s">
        <v>201</v>
      </c>
      <c r="G18" s="14" t="n">
        <v>38064</v>
      </c>
      <c r="H18" s="13" t="s">
        <v>20</v>
      </c>
      <c r="I18" s="15" t="n">
        <v>0.0028</v>
      </c>
      <c r="J18" s="16" t="n">
        <f aca="false">IFERROR(INDEX('Como ler'!$B$20:$B$24,MATCH(H18,'Como ler'!$A$20:$A$24,0)),"")</f>
        <v>0.015</v>
      </c>
      <c r="K18" s="17" t="n">
        <f aca="false">IF(OR(I18="",J18=""),"",I18/J18)</f>
        <v>0.186666666666667</v>
      </c>
      <c r="L18" s="14" t="n">
        <v>204</v>
      </c>
      <c r="M18" s="18" t="n">
        <v>18.1</v>
      </c>
      <c r="N18" s="14" t="n">
        <v>3166</v>
      </c>
      <c r="O18" s="17" t="n">
        <f aca="false">IF(OR(N18="",G18=0),"",N18/G18)</f>
        <v>0.0831757040773434</v>
      </c>
      <c r="P18" s="19" t="n">
        <v>0.5</v>
      </c>
      <c r="Q18" s="20" t="n">
        <v>15.8</v>
      </c>
      <c r="R18" s="21" t="n">
        <v>46291</v>
      </c>
      <c r="S18" s="22" t="n">
        <f aca="false">IF(R18="","",'Como ler'!$B$27-R18)</f>
        <v>1</v>
      </c>
      <c r="T18" s="13" t="n">
        <v>0</v>
      </c>
      <c r="U18" s="13"/>
      <c r="V18" s="13" t="s">
        <v>57</v>
      </c>
      <c r="W18" s="13" t="s">
        <v>57</v>
      </c>
      <c r="X18" s="25" t="s">
        <v>104</v>
      </c>
      <c r="Y18" s="13" t="n">
        <f aca="false">ROUND(IF(K18="",0,MIN(40,40*K18/1.5))+IF(S18="",0,IF(S18&lt;=7,20,IF(S18&lt;=30,12,IF(S18&lt;=90,5,0))))+IF(Q18="",0,MIN(15,Q18*5))+IF(O18="",0,MIN(15,O18*30))+IF(E18="Criador(a)",10,IF(E18="Especialista que cria conteúdo",6,4)),0)</f>
        <v>46</v>
      </c>
      <c r="Z18" s="13" t="s">
        <v>231</v>
      </c>
      <c r="AA18" s="13" t="s">
        <v>113</v>
      </c>
      <c r="AB18" s="13"/>
      <c r="AC18" s="13" t="s">
        <v>130</v>
      </c>
      <c r="AD18" s="13" t="s">
        <v>1078</v>
      </c>
      <c r="AE18" s="13" t="s">
        <v>1079</v>
      </c>
      <c r="AF18" s="13" t="s">
        <v>1080</v>
      </c>
      <c r="AG18" s="24" t="s">
        <v>1081</v>
      </c>
      <c r="AH18" s="13" t="s">
        <v>100</v>
      </c>
      <c r="AI18" s="13"/>
    </row>
    <row r="19" customFormat="false" ht="15" hidden="false" customHeight="false" outlineLevel="0" collapsed="false">
      <c r="A19" s="13" t="s">
        <v>38</v>
      </c>
      <c r="B19" s="13" t="s">
        <v>36</v>
      </c>
      <c r="C19" s="13" t="s">
        <v>1082</v>
      </c>
      <c r="D19" s="13" t="s">
        <v>1083</v>
      </c>
      <c r="E19" s="13" t="s">
        <v>30</v>
      </c>
      <c r="F19" s="13" t="s">
        <v>28</v>
      </c>
      <c r="G19" s="14" t="n">
        <v>20011</v>
      </c>
      <c r="H19" s="13" t="s">
        <v>19</v>
      </c>
      <c r="I19" s="15" t="n">
        <v>0.0071</v>
      </c>
      <c r="J19" s="16" t="n">
        <f aca="false">IFERROR(INDEX('Como ler'!$B$20:$B$24,MATCH(H19,'Como ler'!$A$20:$A$24,0)),"")</f>
        <v>0.025</v>
      </c>
      <c r="K19" s="17" t="n">
        <f aca="false">IF(OR(I19="",J19=""),"",I19/J19)</f>
        <v>0.284</v>
      </c>
      <c r="L19" s="14" t="n">
        <v>485</v>
      </c>
      <c r="M19" s="18" t="n">
        <v>21.3</v>
      </c>
      <c r="N19" s="14" t="n">
        <v>1381</v>
      </c>
      <c r="O19" s="17" t="n">
        <f aca="false">IF(OR(N19="",G19=0),"",N19/G19)</f>
        <v>0.0690120433761431</v>
      </c>
      <c r="P19" s="19" t="n">
        <v>0.7</v>
      </c>
      <c r="Q19" s="20" t="n">
        <v>1.4</v>
      </c>
      <c r="R19" s="21" t="n">
        <v>46292</v>
      </c>
      <c r="S19" s="22" t="n">
        <f aca="false">IF(R19="","",'Como ler'!$B$27-R19)</f>
        <v>0</v>
      </c>
      <c r="T19" s="13" t="n">
        <v>0</v>
      </c>
      <c r="U19" s="13"/>
      <c r="V19" s="13" t="s">
        <v>55</v>
      </c>
      <c r="W19" s="13" t="s">
        <v>55</v>
      </c>
      <c r="X19" s="26" t="s">
        <v>129</v>
      </c>
      <c r="Y19" s="13" t="n">
        <f aca="false">ROUND(IF(K19="",0,MIN(40,40*K19/1.5))+IF(S19="",0,IF(S19&lt;=7,20,IF(S19&lt;=30,12,IF(S19&lt;=90,5,0))))+IF(Q19="",0,MIN(15,Q19*5))+IF(O19="",0,MIN(15,O19*30))+IF(E19="Criador(a)",10,IF(E19="Especialista que cria conteúdo",6,4)),0)</f>
        <v>47</v>
      </c>
      <c r="Z19" s="13" t="s">
        <v>105</v>
      </c>
      <c r="AA19" s="13"/>
      <c r="AB19" s="13" t="s">
        <v>113</v>
      </c>
      <c r="AC19" s="13"/>
      <c r="AD19" s="13" t="s">
        <v>1084</v>
      </c>
      <c r="AE19" s="13" t="s">
        <v>1085</v>
      </c>
      <c r="AF19" s="13" t="s">
        <v>1086</v>
      </c>
      <c r="AG19" s="24" t="s">
        <v>1087</v>
      </c>
      <c r="AH19" s="13" t="s">
        <v>100</v>
      </c>
      <c r="AI19" s="13"/>
    </row>
    <row r="20" customFormat="false" ht="15" hidden="false" customHeight="false" outlineLevel="0" collapsed="false">
      <c r="A20" s="13" t="s">
        <v>38</v>
      </c>
      <c r="B20" s="13"/>
      <c r="C20" s="13" t="s">
        <v>1088</v>
      </c>
      <c r="D20" s="13" t="s">
        <v>1089</v>
      </c>
      <c r="E20" s="13" t="s">
        <v>30</v>
      </c>
      <c r="F20" s="13" t="s">
        <v>28</v>
      </c>
      <c r="G20" s="14" t="n">
        <v>17530</v>
      </c>
      <c r="H20" s="13" t="s">
        <v>19</v>
      </c>
      <c r="I20" s="15" t="n">
        <v>0.0432</v>
      </c>
      <c r="J20" s="16" t="n">
        <f aca="false">IFERROR(INDEX('Como ler'!$B$20:$B$24,MATCH(H20,'Como ler'!$A$20:$A$24,0)),"")</f>
        <v>0.025</v>
      </c>
      <c r="K20" s="17" t="n">
        <f aca="false">IF(OR(I20="",J20=""),"",I20/J20)</f>
        <v>1.728</v>
      </c>
      <c r="L20" s="14" t="n">
        <v>824</v>
      </c>
      <c r="M20" s="18" t="n">
        <v>5.4</v>
      </c>
      <c r="N20" s="14" t="n">
        <v>6976</v>
      </c>
      <c r="O20" s="17" t="n">
        <f aca="false">IF(OR(N20="",G20=0),"",N20/G20)</f>
        <v>0.397946377638334</v>
      </c>
      <c r="P20" s="19" t="n">
        <v>0.78</v>
      </c>
      <c r="Q20" s="20" t="n">
        <v>1.4</v>
      </c>
      <c r="R20" s="21" t="n">
        <v>46292</v>
      </c>
      <c r="S20" s="22" t="n">
        <f aca="false">IF(R20="","",'Como ler'!$B$27-R20)</f>
        <v>0</v>
      </c>
      <c r="T20" s="13" t="n">
        <v>0</v>
      </c>
      <c r="U20" s="13"/>
      <c r="V20" s="13" t="s">
        <v>45</v>
      </c>
      <c r="W20" s="13" t="s">
        <v>45</v>
      </c>
      <c r="X20" s="25" t="s">
        <v>104</v>
      </c>
      <c r="Y20" s="13" t="n">
        <f aca="false">ROUND(IF(K20="",0,MIN(40,40*K20/1.5))+IF(S20="",0,IF(S20&lt;=7,20,IF(S20&lt;=30,12,IF(S20&lt;=90,5,0))))+IF(Q20="",0,MIN(15,Q20*5))+IF(O20="",0,MIN(15,O20*30))+IF(E20="Criador(a)",10,IF(E20="Especialista que cria conteúdo",6,4)),0)</f>
        <v>89</v>
      </c>
      <c r="Z20" s="13"/>
      <c r="AA20" s="13"/>
      <c r="AB20" s="13" t="s">
        <v>113</v>
      </c>
      <c r="AC20" s="13"/>
      <c r="AD20" s="13" t="s">
        <v>1090</v>
      </c>
      <c r="AE20" s="13" t="s">
        <v>1091</v>
      </c>
      <c r="AF20" s="13" t="s">
        <v>1092</v>
      </c>
      <c r="AG20" s="24" t="s">
        <v>1093</v>
      </c>
      <c r="AH20" s="13" t="s">
        <v>100</v>
      </c>
      <c r="AI20" s="13"/>
    </row>
    <row r="21" customFormat="false" ht="15" hidden="false" customHeight="false" outlineLevel="0" collapsed="false">
      <c r="A21" s="13" t="s">
        <v>38</v>
      </c>
      <c r="B21" s="13" t="s">
        <v>36</v>
      </c>
      <c r="C21" s="13" t="s">
        <v>1094</v>
      </c>
      <c r="D21" s="13" t="s">
        <v>1095</v>
      </c>
      <c r="E21" s="13" t="s">
        <v>157</v>
      </c>
      <c r="F21" s="13" t="s">
        <v>29</v>
      </c>
      <c r="G21" s="14" t="n">
        <v>10607</v>
      </c>
      <c r="H21" s="13" t="s">
        <v>19</v>
      </c>
      <c r="I21" s="15" t="n">
        <v>0.0017</v>
      </c>
      <c r="J21" s="16" t="n">
        <f aca="false">IFERROR(INDEX('Como ler'!$B$20:$B$24,MATCH(H21,'Como ler'!$A$20:$A$24,0)),"")</f>
        <v>0.025</v>
      </c>
      <c r="K21" s="17" t="n">
        <f aca="false">IF(OR(I21="",J21=""),"",I21/J21)</f>
        <v>0.068</v>
      </c>
      <c r="L21" s="14" t="n">
        <v>22</v>
      </c>
      <c r="M21" s="18" t="n">
        <v>1.4</v>
      </c>
      <c r="N21" s="14" t="n">
        <v>161</v>
      </c>
      <c r="O21" s="17" t="n">
        <f aca="false">IF(OR(N21="",G21=0),"",N21/G21)</f>
        <v>0.0151786556047893</v>
      </c>
      <c r="P21" s="19" t="n">
        <v>0.88</v>
      </c>
      <c r="Q21" s="20" t="n">
        <v>3.3</v>
      </c>
      <c r="R21" s="21" t="n">
        <v>46292</v>
      </c>
      <c r="S21" s="22" t="n">
        <f aca="false">IF(R21="","",'Como ler'!$B$27-R21)</f>
        <v>0</v>
      </c>
      <c r="T21" s="13" t="n">
        <v>0</v>
      </c>
      <c r="U21" s="13"/>
      <c r="V21" s="13" t="s">
        <v>49</v>
      </c>
      <c r="W21" s="13" t="s">
        <v>1096</v>
      </c>
      <c r="X21" s="23" t="s">
        <v>94</v>
      </c>
      <c r="Y21" s="13" t="n">
        <f aca="false">ROUND(IF(K21="",0,MIN(40,40*K21/1.5))+IF(S21="",0,IF(S21&lt;=7,20,IF(S21&lt;=30,12,IF(S21&lt;=90,5,0))))+IF(Q21="",0,MIN(15,Q21*5))+IF(O21="",0,MIN(15,O21*30))+IF(E21="Criador(a)",10,IF(E21="Especialista que cria conteúdo",6,4)),0)</f>
        <v>43</v>
      </c>
      <c r="Z21" s="13" t="s">
        <v>159</v>
      </c>
      <c r="AA21" s="13" t="s">
        <v>113</v>
      </c>
      <c r="AB21" s="13" t="s">
        <v>113</v>
      </c>
      <c r="AC21" s="13"/>
      <c r="AD21" s="13" t="s">
        <v>1097</v>
      </c>
      <c r="AE21" s="13" t="s">
        <v>1098</v>
      </c>
      <c r="AF21" s="13" t="s">
        <v>1099</v>
      </c>
      <c r="AG21" s="24" t="s">
        <v>1100</v>
      </c>
      <c r="AH21" s="13" t="s">
        <v>100</v>
      </c>
      <c r="AI21" s="13"/>
    </row>
    <row r="22" customFormat="false" ht="15" hidden="false" customHeight="false" outlineLevel="0" collapsed="false">
      <c r="A22" s="13" t="s">
        <v>38</v>
      </c>
      <c r="B22" s="13"/>
      <c r="C22" s="13" t="s">
        <v>1101</v>
      </c>
      <c r="D22" s="13" t="s">
        <v>1102</v>
      </c>
      <c r="E22" s="13" t="s">
        <v>157</v>
      </c>
      <c r="F22" s="13" t="s">
        <v>29</v>
      </c>
      <c r="G22" s="14" t="n">
        <v>10104</v>
      </c>
      <c r="H22" s="13" t="s">
        <v>19</v>
      </c>
      <c r="I22" s="15" t="n">
        <v>0.0174</v>
      </c>
      <c r="J22" s="16" t="n">
        <f aca="false">IFERROR(INDEX('Como ler'!$B$20:$B$24,MATCH(H22,'Como ler'!$A$20:$A$24,0)),"")</f>
        <v>0.025</v>
      </c>
      <c r="K22" s="17" t="n">
        <f aca="false">IF(OR(I22="",J22=""),"",I22/J22)</f>
        <v>0.696</v>
      </c>
      <c r="L22" s="14" t="n">
        <v>261</v>
      </c>
      <c r="M22" s="18" t="n">
        <v>20.2</v>
      </c>
      <c r="N22" s="14" t="n">
        <v>3774</v>
      </c>
      <c r="O22" s="17" t="n">
        <f aca="false">IF(OR(N22="",G22=0),"",N22/G22)</f>
        <v>0.373515439429929</v>
      </c>
      <c r="P22" s="19" t="n">
        <v>0.78</v>
      </c>
      <c r="Q22" s="20" t="n">
        <v>0.3</v>
      </c>
      <c r="R22" s="21" t="n">
        <v>46266</v>
      </c>
      <c r="S22" s="22" t="n">
        <f aca="false">IF(R22="","",'Como ler'!$B$27-R22)</f>
        <v>26</v>
      </c>
      <c r="T22" s="13" t="n">
        <v>0</v>
      </c>
      <c r="U22" s="13"/>
      <c r="V22" s="13" t="s">
        <v>49</v>
      </c>
      <c r="W22" s="13" t="s">
        <v>49</v>
      </c>
      <c r="X22" s="25" t="s">
        <v>104</v>
      </c>
      <c r="Y22" s="13" t="n">
        <f aca="false">ROUND(IF(K22="",0,MIN(40,40*K22/1.5))+IF(S22="",0,IF(S22&lt;=7,20,IF(S22&lt;=30,12,IF(S22&lt;=90,5,0))))+IF(Q22="",0,MIN(15,Q22*5))+IF(O22="",0,MIN(15,O22*30))+IF(E22="Criador(a)",10,IF(E22="Especialista que cria conteúdo",6,4)),0)</f>
        <v>49</v>
      </c>
      <c r="Z22" s="13" t="s">
        <v>159</v>
      </c>
      <c r="AA22" s="13"/>
      <c r="AB22" s="13"/>
      <c r="AC22" s="13"/>
      <c r="AD22" s="13" t="s">
        <v>1103</v>
      </c>
      <c r="AE22" s="13" t="s">
        <v>1104</v>
      </c>
      <c r="AF22" s="13" t="s">
        <v>1105</v>
      </c>
      <c r="AG22" s="24" t="s">
        <v>1106</v>
      </c>
      <c r="AH22" s="13" t="s">
        <v>100</v>
      </c>
      <c r="AI22" s="13"/>
    </row>
    <row r="23" customFormat="false" ht="15" hidden="false" customHeight="false" outlineLevel="0" collapsed="false">
      <c r="A23" s="13" t="s">
        <v>38</v>
      </c>
      <c r="B23" s="13"/>
      <c r="C23" s="13" t="s">
        <v>1107</v>
      </c>
      <c r="D23" s="13" t="s">
        <v>1108</v>
      </c>
      <c r="E23" s="13" t="s">
        <v>200</v>
      </c>
      <c r="F23" s="13" t="s">
        <v>201</v>
      </c>
      <c r="G23" s="14" t="n">
        <v>9748</v>
      </c>
      <c r="H23" s="13" t="s">
        <v>19</v>
      </c>
      <c r="I23" s="15" t="n">
        <v>0.0336</v>
      </c>
      <c r="J23" s="16" t="n">
        <f aca="false">IFERROR(INDEX('Como ler'!$B$20:$B$24,MATCH(H23,'Como ler'!$A$20:$A$24,0)),"")</f>
        <v>0.025</v>
      </c>
      <c r="K23" s="17" t="n">
        <f aca="false">IF(OR(I23="",J23=""),"",I23/J23)</f>
        <v>1.344</v>
      </c>
      <c r="L23" s="14" t="n">
        <v>318</v>
      </c>
      <c r="M23" s="18" t="n">
        <v>13.9</v>
      </c>
      <c r="N23" s="14" t="n">
        <v>2302</v>
      </c>
      <c r="O23" s="17" t="n">
        <f aca="false">IF(OR(N23="",G23=0),"",N23/G23)</f>
        <v>0.236151005334428</v>
      </c>
      <c r="P23" s="19" t="n">
        <v>0.83</v>
      </c>
      <c r="Q23" s="20" t="n">
        <v>9.6</v>
      </c>
      <c r="R23" s="21" t="n">
        <v>45546</v>
      </c>
      <c r="S23" s="22" t="n">
        <f aca="false">IF(R23="","",'Como ler'!$B$27-R23)</f>
        <v>746</v>
      </c>
      <c r="T23" s="13" t="n">
        <v>0</v>
      </c>
      <c r="U23" s="13"/>
      <c r="V23" s="13" t="s">
        <v>47</v>
      </c>
      <c r="W23" s="13" t="s">
        <v>47</v>
      </c>
      <c r="X23" s="25" t="s">
        <v>104</v>
      </c>
      <c r="Y23" s="13" t="n">
        <f aca="false">ROUND(IF(K23="",0,MIN(40,40*K23/1.5))+IF(S23="",0,IF(S23&lt;=7,20,IF(S23&lt;=30,12,IF(S23&lt;=90,5,0))))+IF(Q23="",0,MIN(15,Q23*5))+IF(O23="",0,MIN(15,O23*30))+IF(E23="Criador(a)",10,IF(E23="Especialista que cria conteúdo",6,4)),0)</f>
        <v>62</v>
      </c>
      <c r="Z23" s="13"/>
      <c r="AA23" s="13"/>
      <c r="AB23" s="13" t="s">
        <v>113</v>
      </c>
      <c r="AC23" s="13"/>
      <c r="AD23" s="13" t="s">
        <v>1109</v>
      </c>
      <c r="AE23" s="13" t="s">
        <v>1110</v>
      </c>
      <c r="AF23" s="13" t="s">
        <v>1111</v>
      </c>
      <c r="AG23" s="24" t="s">
        <v>1112</v>
      </c>
      <c r="AH23" s="13" t="s">
        <v>100</v>
      </c>
      <c r="AI23" s="13"/>
    </row>
    <row r="24" customFormat="false" ht="15" hidden="false" customHeight="false" outlineLevel="0" collapsed="false">
      <c r="A24" s="13" t="s">
        <v>38</v>
      </c>
      <c r="B24" s="13"/>
      <c r="C24" s="13" t="s">
        <v>1113</v>
      </c>
      <c r="D24" s="13" t="s">
        <v>1114</v>
      </c>
      <c r="E24" s="13" t="s">
        <v>157</v>
      </c>
      <c r="F24" s="13" t="s">
        <v>29</v>
      </c>
      <c r="G24" s="14" t="n">
        <v>7826</v>
      </c>
      <c r="H24" s="13" t="s">
        <v>19</v>
      </c>
      <c r="I24" s="15" t="n">
        <v>0.0014</v>
      </c>
      <c r="J24" s="16" t="n">
        <f aca="false">IFERROR(INDEX('Como ler'!$B$20:$B$24,MATCH(H24,'Como ler'!$A$20:$A$24,0)),"")</f>
        <v>0.025</v>
      </c>
      <c r="K24" s="17" t="n">
        <f aca="false">IF(OR(I24="",J24=""),"",I24/J24)</f>
        <v>0.056</v>
      </c>
      <c r="L24" s="14" t="n">
        <v>13</v>
      </c>
      <c r="M24" s="18" t="n">
        <v>2.8</v>
      </c>
      <c r="N24" s="14" t="n">
        <v>71</v>
      </c>
      <c r="O24" s="17" t="n">
        <f aca="false">IF(OR(N24="",G24=0),"",N24/G24)</f>
        <v>0.0090723230258114</v>
      </c>
      <c r="P24" s="19" t="n">
        <v>0.75</v>
      </c>
      <c r="Q24" s="20" t="n">
        <v>1.7</v>
      </c>
      <c r="R24" s="21" t="n">
        <v>46290</v>
      </c>
      <c r="S24" s="22" t="n">
        <f aca="false">IF(R24="","",'Como ler'!$B$27-R24)</f>
        <v>2</v>
      </c>
      <c r="T24" s="13" t="n">
        <v>0</v>
      </c>
      <c r="U24" s="13"/>
      <c r="V24" s="13" t="s">
        <v>55</v>
      </c>
      <c r="W24" s="13" t="s">
        <v>714</v>
      </c>
      <c r="X24" s="26" t="s">
        <v>129</v>
      </c>
      <c r="Y24" s="13" t="n">
        <f aca="false">ROUND(IF(K24="",0,MIN(40,40*K24/1.5))+IF(S24="",0,IF(S24&lt;=7,20,IF(S24&lt;=30,12,IF(S24&lt;=90,5,0))))+IF(Q24="",0,MIN(15,Q24*5))+IF(O24="",0,MIN(15,O24*30))+IF(E24="Criador(a)",10,IF(E24="Especialista que cria conteúdo",6,4)),0)</f>
        <v>36</v>
      </c>
      <c r="Z24" s="13" t="s">
        <v>672</v>
      </c>
      <c r="AA24" s="13"/>
      <c r="AB24" s="13" t="s">
        <v>113</v>
      </c>
      <c r="AC24" s="13"/>
      <c r="AD24" s="13" t="s">
        <v>1033</v>
      </c>
      <c r="AE24" s="13" t="s">
        <v>1115</v>
      </c>
      <c r="AF24" s="13" t="s">
        <v>1116</v>
      </c>
      <c r="AG24" s="24" t="s">
        <v>1117</v>
      </c>
      <c r="AH24" s="13" t="s">
        <v>100</v>
      </c>
      <c r="AI24" s="13"/>
    </row>
    <row r="25" customFormat="false" ht="15" hidden="false" customHeight="false" outlineLevel="0" collapsed="false">
      <c r="A25" s="13" t="s">
        <v>38</v>
      </c>
      <c r="B25" s="13"/>
      <c r="C25" s="13" t="s">
        <v>1118</v>
      </c>
      <c r="D25" s="13" t="s">
        <v>1119</v>
      </c>
      <c r="E25" s="13" t="s">
        <v>157</v>
      </c>
      <c r="F25" s="13" t="s">
        <v>29</v>
      </c>
      <c r="G25" s="14" t="n">
        <v>7343</v>
      </c>
      <c r="H25" s="13" t="s">
        <v>19</v>
      </c>
      <c r="I25" s="15" t="n">
        <v>0.0005</v>
      </c>
      <c r="J25" s="16" t="n">
        <f aca="false">IFERROR(INDEX('Como ler'!$B$20:$B$24,MATCH(H25,'Como ler'!$A$20:$A$24,0)),"")</f>
        <v>0.025</v>
      </c>
      <c r="K25" s="17" t="n">
        <f aca="false">IF(OR(I25="",J25=""),"",I25/J25)</f>
        <v>0.02</v>
      </c>
      <c r="L25" s="14" t="n">
        <v>8</v>
      </c>
      <c r="M25" s="18" t="n">
        <v>1</v>
      </c>
      <c r="N25" s="14" t="n">
        <v>402</v>
      </c>
      <c r="O25" s="17" t="n">
        <f aca="false">IF(OR(N25="",G25=0),"",N25/G25)</f>
        <v>0.0547460166144628</v>
      </c>
      <c r="P25" s="19" t="n">
        <v>0.55</v>
      </c>
      <c r="Q25" s="20" t="n">
        <v>0.7</v>
      </c>
      <c r="R25" s="21" t="n">
        <v>46290</v>
      </c>
      <c r="S25" s="22" t="n">
        <f aca="false">IF(R25="","",'Como ler'!$B$27-R25)</f>
        <v>2</v>
      </c>
      <c r="T25" s="13" t="n">
        <v>0</v>
      </c>
      <c r="U25" s="13"/>
      <c r="V25" s="13" t="s">
        <v>52</v>
      </c>
      <c r="W25" s="13" t="s">
        <v>1120</v>
      </c>
      <c r="X25" s="23" t="s">
        <v>94</v>
      </c>
      <c r="Y25" s="13" t="n">
        <f aca="false">ROUND(IF(K25="",0,MIN(40,40*K25/1.5))+IF(S25="",0,IF(S25&lt;=7,20,IF(S25&lt;=30,12,IF(S25&lt;=90,5,0))))+IF(Q25="",0,MIN(15,Q25*5))+IF(O25="",0,MIN(15,O25*30))+IF(E25="Criador(a)",10,IF(E25="Especialista que cria conteúdo",6,4)),0)</f>
        <v>32</v>
      </c>
      <c r="Z25" s="13" t="s">
        <v>159</v>
      </c>
      <c r="AA25" s="13"/>
      <c r="AB25" s="13" t="s">
        <v>113</v>
      </c>
      <c r="AC25" s="13" t="s">
        <v>114</v>
      </c>
      <c r="AD25" s="13" t="s">
        <v>1033</v>
      </c>
      <c r="AE25" s="13"/>
      <c r="AF25" s="13" t="s">
        <v>1121</v>
      </c>
      <c r="AG25" s="24" t="s">
        <v>1122</v>
      </c>
      <c r="AH25" s="13" t="s">
        <v>100</v>
      </c>
      <c r="AI25" s="13"/>
    </row>
    <row r="26" customFormat="false" ht="15" hidden="false" customHeight="false" outlineLevel="0" collapsed="false">
      <c r="A26" s="13" t="s">
        <v>38</v>
      </c>
      <c r="B26" s="13" t="s">
        <v>36</v>
      </c>
      <c r="C26" s="13" t="s">
        <v>1123</v>
      </c>
      <c r="D26" s="13" t="s">
        <v>1124</v>
      </c>
      <c r="E26" s="13" t="s">
        <v>30</v>
      </c>
      <c r="F26" s="13" t="s">
        <v>28</v>
      </c>
      <c r="G26" s="14" t="n">
        <v>5497</v>
      </c>
      <c r="H26" s="13" t="s">
        <v>19</v>
      </c>
      <c r="I26" s="15" t="n">
        <v>0.0095</v>
      </c>
      <c r="J26" s="16" t="n">
        <f aca="false">IFERROR(INDEX('Como ler'!$B$20:$B$24,MATCH(H26,'Como ler'!$A$20:$A$24,0)),"")</f>
        <v>0.025</v>
      </c>
      <c r="K26" s="17" t="n">
        <f aca="false">IF(OR(I26="",J26=""),"",I26/J26)</f>
        <v>0.38</v>
      </c>
      <c r="L26" s="14" t="n">
        <v>48</v>
      </c>
      <c r="M26" s="18" t="n">
        <v>7.2</v>
      </c>
      <c r="N26" s="14" t="n">
        <v>231</v>
      </c>
      <c r="O26" s="17" t="n">
        <f aca="false">IF(OR(N26="",G26=0),"",N26/G26)</f>
        <v>0.0420229215935965</v>
      </c>
      <c r="P26" s="19" t="n">
        <v>0.56</v>
      </c>
      <c r="Q26" s="20" t="n">
        <v>0.2</v>
      </c>
      <c r="R26" s="21" t="n">
        <v>46224</v>
      </c>
      <c r="S26" s="22" t="n">
        <f aca="false">IF(R26="","",'Como ler'!$B$27-R26)</f>
        <v>68</v>
      </c>
      <c r="T26" s="13" t="n">
        <v>0</v>
      </c>
      <c r="U26" s="13"/>
      <c r="V26" s="13" t="s">
        <v>43</v>
      </c>
      <c r="W26" s="13" t="s">
        <v>1125</v>
      </c>
      <c r="X26" s="26" t="s">
        <v>129</v>
      </c>
      <c r="Y26" s="13" t="n">
        <f aca="false">ROUND(IF(K26="",0,MIN(40,40*K26/1.5))+IF(S26="",0,IF(S26&lt;=7,20,IF(S26&lt;=30,12,IF(S26&lt;=90,5,0))))+IF(Q26="",0,MIN(15,Q26*5))+IF(O26="",0,MIN(15,O26*30))+IF(E26="Criador(a)",10,IF(E26="Especialista que cria conteúdo",6,4)),0)</f>
        <v>27</v>
      </c>
      <c r="Z26" s="13" t="s">
        <v>303</v>
      </c>
      <c r="AA26" s="13"/>
      <c r="AB26" s="13"/>
      <c r="AC26" s="13"/>
      <c r="AD26" s="13" t="s">
        <v>1126</v>
      </c>
      <c r="AE26" s="13" t="s">
        <v>1127</v>
      </c>
      <c r="AF26" s="13" t="s">
        <v>1128</v>
      </c>
      <c r="AG26" s="24" t="s">
        <v>1129</v>
      </c>
      <c r="AH26" s="13" t="s">
        <v>100</v>
      </c>
      <c r="AI26" s="13"/>
    </row>
    <row r="27" customFormat="false" ht="15" hidden="false" customHeight="false" outlineLevel="0" collapsed="false">
      <c r="A27" s="13" t="s">
        <v>38</v>
      </c>
      <c r="B27" s="13"/>
      <c r="C27" s="13" t="s">
        <v>1130</v>
      </c>
      <c r="D27" s="13" t="s">
        <v>1131</v>
      </c>
      <c r="E27" s="13" t="s">
        <v>30</v>
      </c>
      <c r="F27" s="13" t="s">
        <v>28</v>
      </c>
      <c r="G27" s="14" t="n">
        <v>5324</v>
      </c>
      <c r="H27" s="13" t="s">
        <v>19</v>
      </c>
      <c r="I27" s="15" t="n">
        <v>0.0105</v>
      </c>
      <c r="J27" s="16" t="n">
        <f aca="false">IFERROR(INDEX('Como ler'!$B$20:$B$24,MATCH(H27,'Como ler'!$A$20:$A$24,0)),"")</f>
        <v>0.025</v>
      </c>
      <c r="K27" s="17" t="n">
        <f aca="false">IF(OR(I27="",J27=""),"",I27/J27)</f>
        <v>0.42</v>
      </c>
      <c r="L27" s="14" t="n">
        <v>87</v>
      </c>
      <c r="M27" s="18" t="n">
        <v>3.3</v>
      </c>
      <c r="N27" s="14" t="n">
        <v>936</v>
      </c>
      <c r="O27" s="17" t="n">
        <f aca="false">IF(OR(N27="",G27=0),"",N27/G27)</f>
        <v>0.175807663410969</v>
      </c>
      <c r="P27" s="19" t="n">
        <v>0.56</v>
      </c>
      <c r="Q27" s="20" t="n">
        <v>9.3</v>
      </c>
      <c r="R27" s="21" t="n">
        <v>46284</v>
      </c>
      <c r="S27" s="22" t="n">
        <f aca="false">IF(R27="","",'Como ler'!$B$27-R27)</f>
        <v>8</v>
      </c>
      <c r="T27" s="13" t="n">
        <v>0</v>
      </c>
      <c r="U27" s="13"/>
      <c r="V27" s="13" t="s">
        <v>48</v>
      </c>
      <c r="W27" s="13" t="s">
        <v>1132</v>
      </c>
      <c r="X27" s="26" t="s">
        <v>129</v>
      </c>
      <c r="Y27" s="13" t="n">
        <f aca="false">ROUND(IF(K27="",0,MIN(40,40*K27/1.5))+IF(S27="",0,IF(S27&lt;=7,20,IF(S27&lt;=30,12,IF(S27&lt;=90,5,0))))+IF(Q27="",0,MIN(15,Q27*5))+IF(O27="",0,MIN(15,O27*30))+IF(E27="Criador(a)",10,IF(E27="Especialista que cria conteúdo",6,4)),0)</f>
        <v>53</v>
      </c>
      <c r="Z27" s="13" t="s">
        <v>105</v>
      </c>
      <c r="AA27" s="13"/>
      <c r="AB27" s="13" t="s">
        <v>113</v>
      </c>
      <c r="AC27" s="13" t="s">
        <v>130</v>
      </c>
      <c r="AD27" s="13" t="s">
        <v>1033</v>
      </c>
      <c r="AE27" s="13" t="s">
        <v>1133</v>
      </c>
      <c r="AF27" s="13" t="s">
        <v>1134</v>
      </c>
      <c r="AG27" s="24" t="s">
        <v>1135</v>
      </c>
      <c r="AH27" s="13" t="s">
        <v>100</v>
      </c>
      <c r="AI27" s="13"/>
    </row>
    <row r="28" customFormat="false" ht="15" hidden="false" customHeight="false" outlineLevel="0" collapsed="false">
      <c r="A28" s="13" t="s">
        <v>38</v>
      </c>
      <c r="B28" s="13" t="s">
        <v>1037</v>
      </c>
      <c r="C28" s="13" t="s">
        <v>1136</v>
      </c>
      <c r="D28" s="13" t="s">
        <v>1137</v>
      </c>
      <c r="E28" s="13" t="s">
        <v>30</v>
      </c>
      <c r="F28" s="13" t="s">
        <v>29</v>
      </c>
      <c r="G28" s="14" t="n">
        <v>4945</v>
      </c>
      <c r="H28" s="13" t="s">
        <v>19</v>
      </c>
      <c r="I28" s="15" t="n">
        <v>0.0152</v>
      </c>
      <c r="J28" s="16" t="n">
        <f aca="false">IFERROR(INDEX('Como ler'!$B$20:$B$24,MATCH(H28,'Como ler'!$A$20:$A$24,0)),"")</f>
        <v>0.025</v>
      </c>
      <c r="K28" s="17" t="n">
        <f aca="false">IF(OR(I28="",J28=""),"",I28/J28)</f>
        <v>0.608</v>
      </c>
      <c r="L28" s="14" t="n">
        <v>59</v>
      </c>
      <c r="M28" s="18" t="n">
        <v>15.8</v>
      </c>
      <c r="N28" s="14" t="n">
        <v>394</v>
      </c>
      <c r="O28" s="17" t="n">
        <f aca="false">IF(OR(N28="",G28=0),"",N28/G28)</f>
        <v>0.0796764408493428</v>
      </c>
      <c r="P28" s="19" t="n">
        <v>0.22</v>
      </c>
      <c r="Q28" s="20" t="n">
        <v>0.8</v>
      </c>
      <c r="R28" s="21" t="n">
        <v>46292</v>
      </c>
      <c r="S28" s="22" t="n">
        <f aca="false">IF(R28="","",'Como ler'!$B$27-R28)</f>
        <v>0</v>
      </c>
      <c r="T28" s="13" t="n">
        <v>0</v>
      </c>
      <c r="U28" s="13"/>
      <c r="V28" s="13" t="s">
        <v>45</v>
      </c>
      <c r="W28" s="13" t="s">
        <v>45</v>
      </c>
      <c r="X28" s="25" t="s">
        <v>104</v>
      </c>
      <c r="Y28" s="13" t="n">
        <f aca="false">ROUND(IF(K28="",0,MIN(40,40*K28/1.5))+IF(S28="",0,IF(S28&lt;=7,20,IF(S28&lt;=30,12,IF(S28&lt;=90,5,0))))+IF(Q28="",0,MIN(15,Q28*5))+IF(O28="",0,MIN(15,O28*30))+IF(E28="Criador(a)",10,IF(E28="Especialista que cria conteúdo",6,4)),0)</f>
        <v>53</v>
      </c>
      <c r="Z28" s="13" t="s">
        <v>355</v>
      </c>
      <c r="AA28" s="13" t="s">
        <v>113</v>
      </c>
      <c r="AB28" s="13"/>
      <c r="AC28" s="13"/>
      <c r="AD28" s="13" t="s">
        <v>1138</v>
      </c>
      <c r="AE28" s="13" t="s">
        <v>1139</v>
      </c>
      <c r="AF28" s="13" t="s">
        <v>1140</v>
      </c>
      <c r="AG28" s="24" t="s">
        <v>1141</v>
      </c>
      <c r="AH28" s="13" t="s">
        <v>100</v>
      </c>
      <c r="AI28" s="13"/>
    </row>
    <row r="29" customFormat="false" ht="15" hidden="false" customHeight="false" outlineLevel="0" collapsed="false">
      <c r="A29" s="13" t="s">
        <v>38</v>
      </c>
      <c r="B29" s="13"/>
      <c r="C29" s="13" t="s">
        <v>1142</v>
      </c>
      <c r="D29" s="13" t="s">
        <v>1143</v>
      </c>
      <c r="E29" s="13" t="s">
        <v>157</v>
      </c>
      <c r="F29" s="13" t="s">
        <v>28</v>
      </c>
      <c r="G29" s="14" t="n">
        <v>3032</v>
      </c>
      <c r="H29" s="13" t="s">
        <v>19</v>
      </c>
      <c r="I29" s="15" t="n">
        <v>0.0396</v>
      </c>
      <c r="J29" s="16" t="n">
        <f aca="false">IFERROR(INDEX('Como ler'!$B$20:$B$24,MATCH(H29,'Como ler'!$A$20:$A$24,0)),"")</f>
        <v>0.025</v>
      </c>
      <c r="K29" s="17" t="n">
        <f aca="false">IF(OR(I29="",J29=""),"",I29/J29)</f>
        <v>1.584</v>
      </c>
      <c r="L29" s="14" t="n">
        <v>116</v>
      </c>
      <c r="M29" s="18" t="n">
        <v>13.1</v>
      </c>
      <c r="N29" s="14" t="n">
        <v>309</v>
      </c>
      <c r="O29" s="17" t="n">
        <f aca="false">IF(OR(N29="",G29=0),"",N29/G29)</f>
        <v>0.101912928759894</v>
      </c>
      <c r="P29" s="19" t="n">
        <v>0.22</v>
      </c>
      <c r="Q29" s="20" t="n">
        <v>0.2</v>
      </c>
      <c r="R29" s="21" t="n">
        <v>46251</v>
      </c>
      <c r="S29" s="22" t="n">
        <f aca="false">IF(R29="","",'Como ler'!$B$27-R29)</f>
        <v>41</v>
      </c>
      <c r="T29" s="13" t="n">
        <v>0</v>
      </c>
      <c r="U29" s="13"/>
      <c r="V29" s="13" t="s">
        <v>45</v>
      </c>
      <c r="W29" s="13" t="s">
        <v>45</v>
      </c>
      <c r="X29" s="25" t="s">
        <v>104</v>
      </c>
      <c r="Y29" s="13" t="n">
        <f aca="false">ROUND(IF(K29="",0,MIN(40,40*K29/1.5))+IF(S29="",0,IF(S29&lt;=7,20,IF(S29&lt;=30,12,IF(S29&lt;=90,5,0))))+IF(Q29="",0,MIN(15,Q29*5))+IF(O29="",0,MIN(15,O29*30))+IF(E29="Criador(a)",10,IF(E29="Especialista que cria conteúdo",6,4)),0)</f>
        <v>55</v>
      </c>
      <c r="Z29" s="13"/>
      <c r="AA29" s="13"/>
      <c r="AB29" s="13" t="s">
        <v>113</v>
      </c>
      <c r="AC29" s="13"/>
      <c r="AD29" s="13" t="s">
        <v>1144</v>
      </c>
      <c r="AE29" s="13" t="s">
        <v>1145</v>
      </c>
      <c r="AF29" s="13" t="s">
        <v>1146</v>
      </c>
      <c r="AG29" s="24" t="s">
        <v>1147</v>
      </c>
      <c r="AH29" s="13" t="s">
        <v>100</v>
      </c>
      <c r="AI29" s="13"/>
    </row>
    <row r="30" customFormat="false" ht="15" hidden="false" customHeight="false" outlineLevel="0" collapsed="false">
      <c r="A30" s="13" t="s">
        <v>38</v>
      </c>
      <c r="B30" s="13"/>
      <c r="C30" s="13" t="s">
        <v>1148</v>
      </c>
      <c r="D30" s="13" t="s">
        <v>1149</v>
      </c>
      <c r="E30" s="13" t="s">
        <v>200</v>
      </c>
      <c r="F30" s="13" t="s">
        <v>201</v>
      </c>
      <c r="G30" s="14" t="n">
        <v>3021</v>
      </c>
      <c r="H30" s="13" t="s">
        <v>19</v>
      </c>
      <c r="I30" s="15" t="n">
        <v>0.0036</v>
      </c>
      <c r="J30" s="16" t="n">
        <f aca="false">IFERROR(INDEX('Como ler'!$B$20:$B$24,MATCH(H30,'Como ler'!$A$20:$A$24,0)),"")</f>
        <v>0.025</v>
      </c>
      <c r="K30" s="17" t="n">
        <f aca="false">IF(OR(I30="",J30=""),"",I30/J30)</f>
        <v>0.144</v>
      </c>
      <c r="L30" s="14" t="n">
        <v>12</v>
      </c>
      <c r="M30" s="18" t="n">
        <v>0.1</v>
      </c>
      <c r="N30" s="14" t="n">
        <v>55</v>
      </c>
      <c r="O30" s="17" t="n">
        <f aca="false">IF(OR(N30="",G30=0),"",N30/G30)</f>
        <v>0.0182058920887123</v>
      </c>
      <c r="P30" s="19" t="n">
        <v>0.42</v>
      </c>
      <c r="Q30" s="20" t="n">
        <v>1.4</v>
      </c>
      <c r="R30" s="21" t="n">
        <v>46143</v>
      </c>
      <c r="S30" s="22" t="n">
        <f aca="false">IF(R30="","",'Como ler'!$B$27-R30)</f>
        <v>149</v>
      </c>
      <c r="T30" s="13" t="n">
        <v>0</v>
      </c>
      <c r="U30" s="13"/>
      <c r="V30" s="13" t="s">
        <v>57</v>
      </c>
      <c r="W30" s="13" t="s">
        <v>57</v>
      </c>
      <c r="X30" s="25" t="s">
        <v>104</v>
      </c>
      <c r="Y30" s="13" t="n">
        <f aca="false">ROUND(IF(K30="",0,MIN(40,40*K30/1.5))+IF(S30="",0,IF(S30&lt;=7,20,IF(S30&lt;=30,12,IF(S30&lt;=90,5,0))))+IF(Q30="",0,MIN(15,Q30*5))+IF(O30="",0,MIN(15,O30*30))+IF(E30="Criador(a)",10,IF(E30="Especialista que cria conteúdo",6,4)),0)</f>
        <v>15</v>
      </c>
      <c r="Z30" s="13" t="s">
        <v>159</v>
      </c>
      <c r="AA30" s="13"/>
      <c r="AB30" s="13"/>
      <c r="AC30" s="13"/>
      <c r="AD30" s="13" t="s">
        <v>1066</v>
      </c>
      <c r="AE30" s="13" t="s">
        <v>1150</v>
      </c>
      <c r="AF30" s="13" t="s">
        <v>1151</v>
      </c>
      <c r="AG30" s="24" t="s">
        <v>1152</v>
      </c>
      <c r="AH30" s="13" t="s">
        <v>100</v>
      </c>
      <c r="AI30" s="13"/>
    </row>
    <row r="31" customFormat="false" ht="15" hidden="false" customHeight="false" outlineLevel="0" collapsed="false">
      <c r="A31" s="13" t="s">
        <v>38</v>
      </c>
      <c r="B31" s="13"/>
      <c r="C31" s="13" t="s">
        <v>1153</v>
      </c>
      <c r="D31" s="13" t="s">
        <v>1154</v>
      </c>
      <c r="E31" s="13" t="s">
        <v>157</v>
      </c>
      <c r="F31" s="13" t="s">
        <v>28</v>
      </c>
      <c r="G31" s="14" t="n">
        <v>2888</v>
      </c>
      <c r="H31" s="13" t="s">
        <v>18</v>
      </c>
      <c r="I31" s="15" t="n">
        <v>0.0045</v>
      </c>
      <c r="J31" s="16" t="n">
        <f aca="false">IFERROR(INDEX('Como ler'!$B$20:$B$24,MATCH(H31,'Como ler'!$A$20:$A$24,0)),"")</f>
        <v>0.04</v>
      </c>
      <c r="K31" s="17" t="n">
        <f aca="false">IF(OR(I31="",J31=""),"",I31/J31)</f>
        <v>0.1125</v>
      </c>
      <c r="L31" s="14" t="n">
        <v>22</v>
      </c>
      <c r="M31" s="18" t="n">
        <v>1</v>
      </c>
      <c r="N31" s="14" t="n">
        <v>214</v>
      </c>
      <c r="O31" s="17" t="n">
        <f aca="false">IF(OR(N31="",G31=0),"",N31/G31)</f>
        <v>0.0740997229916898</v>
      </c>
      <c r="P31" s="19" t="n">
        <v>1</v>
      </c>
      <c r="Q31" s="20" t="n">
        <v>8.8</v>
      </c>
      <c r="R31" s="21" t="n">
        <v>46292</v>
      </c>
      <c r="S31" s="22" t="n">
        <f aca="false">IF(R31="","",'Como ler'!$B$27-R31)</f>
        <v>0</v>
      </c>
      <c r="T31" s="13" t="n">
        <v>0</v>
      </c>
      <c r="U31" s="13"/>
      <c r="V31" s="13" t="s">
        <v>55</v>
      </c>
      <c r="W31" s="13" t="s">
        <v>55</v>
      </c>
      <c r="X31" s="26" t="s">
        <v>129</v>
      </c>
      <c r="Y31" s="13" t="n">
        <f aca="false">ROUND(IF(K31="",0,MIN(40,40*K31/1.5))+IF(S31="",0,IF(S31&lt;=7,20,IF(S31&lt;=30,12,IF(S31&lt;=90,5,0))))+IF(Q31="",0,MIN(15,Q31*5))+IF(O31="",0,MIN(15,O31*30))+IF(E31="Criador(a)",10,IF(E31="Especialista que cria conteúdo",6,4)),0)</f>
        <v>46</v>
      </c>
      <c r="Z31" s="13"/>
      <c r="AA31" s="13"/>
      <c r="AB31" s="13" t="s">
        <v>113</v>
      </c>
      <c r="AC31" s="13"/>
      <c r="AD31" s="13" t="s">
        <v>1155</v>
      </c>
      <c r="AE31" s="13" t="s">
        <v>1156</v>
      </c>
      <c r="AF31" s="13" t="s">
        <v>1157</v>
      </c>
      <c r="AG31" s="24" t="s">
        <v>1158</v>
      </c>
      <c r="AH31" s="13" t="s">
        <v>100</v>
      </c>
      <c r="AI31" s="13"/>
    </row>
    <row r="32" customFormat="false" ht="15" hidden="false" customHeight="false" outlineLevel="0" collapsed="false">
      <c r="A32" s="13" t="s">
        <v>38</v>
      </c>
      <c r="B32" s="13" t="s">
        <v>36</v>
      </c>
      <c r="C32" s="13" t="s">
        <v>1159</v>
      </c>
      <c r="D32" s="13" t="s">
        <v>1160</v>
      </c>
      <c r="E32" s="13" t="s">
        <v>30</v>
      </c>
      <c r="F32" s="13" t="s">
        <v>29</v>
      </c>
      <c r="G32" s="14" t="n">
        <v>2886</v>
      </c>
      <c r="H32" s="13" t="s">
        <v>18</v>
      </c>
      <c r="I32" s="15" t="n">
        <v>0.0073</v>
      </c>
      <c r="J32" s="16" t="n">
        <f aca="false">IFERROR(INDEX('Como ler'!$B$20:$B$24,MATCH(H32,'Como ler'!$A$20:$A$24,0)),"")</f>
        <v>0.04</v>
      </c>
      <c r="K32" s="17" t="n">
        <f aca="false">IF(OR(I32="",J32=""),"",I32/J32)</f>
        <v>0.1825</v>
      </c>
      <c r="L32" s="14" t="n">
        <v>24</v>
      </c>
      <c r="M32" s="18" t="n">
        <v>2.9</v>
      </c>
      <c r="N32" s="14" t="n">
        <v>222</v>
      </c>
      <c r="O32" s="17" t="n">
        <f aca="false">IF(OR(N32="",G32=0),"",N32/G32)</f>
        <v>0.0769230769230769</v>
      </c>
      <c r="P32" s="19" t="n">
        <v>1</v>
      </c>
      <c r="Q32" s="20" t="n">
        <v>14</v>
      </c>
      <c r="R32" s="21" t="n">
        <v>46292</v>
      </c>
      <c r="S32" s="22" t="n">
        <f aca="false">IF(R32="","",'Como ler'!$B$27-R32)</f>
        <v>0</v>
      </c>
      <c r="T32" s="13" t="n">
        <v>0</v>
      </c>
      <c r="U32" s="13"/>
      <c r="V32" s="13" t="s">
        <v>47</v>
      </c>
      <c r="W32" s="13" t="s">
        <v>1161</v>
      </c>
      <c r="X32" s="26" t="s">
        <v>129</v>
      </c>
      <c r="Y32" s="13" t="n">
        <f aca="false">ROUND(IF(K32="",0,MIN(40,40*K32/1.5))+IF(S32="",0,IF(S32&lt;=7,20,IF(S32&lt;=30,12,IF(S32&lt;=90,5,0))))+IF(Q32="",0,MIN(15,Q32*5))+IF(O32="",0,MIN(15,O32*30))+IF(E32="Criador(a)",10,IF(E32="Especialista que cria conteúdo",6,4)),0)</f>
        <v>52</v>
      </c>
      <c r="Z32" s="13" t="s">
        <v>289</v>
      </c>
      <c r="AA32" s="13" t="s">
        <v>113</v>
      </c>
      <c r="AB32" s="13"/>
      <c r="AC32" s="13"/>
      <c r="AD32" s="13" t="s">
        <v>1162</v>
      </c>
      <c r="AE32" s="13" t="s">
        <v>1163</v>
      </c>
      <c r="AF32" s="13" t="s">
        <v>1164</v>
      </c>
      <c r="AG32" s="24" t="s">
        <v>1165</v>
      </c>
      <c r="AH32" s="13" t="s">
        <v>100</v>
      </c>
      <c r="AI32" s="13"/>
    </row>
    <row r="33" customFormat="false" ht="15" hidden="false" customHeight="false" outlineLevel="0" collapsed="false">
      <c r="A33" s="13" t="s">
        <v>38</v>
      </c>
      <c r="B33" s="13"/>
      <c r="C33" s="13" t="s">
        <v>1166</v>
      </c>
      <c r="D33" s="13" t="s">
        <v>1167</v>
      </c>
      <c r="E33" s="13" t="s">
        <v>30</v>
      </c>
      <c r="F33" s="13" t="s">
        <v>28</v>
      </c>
      <c r="G33" s="14" t="n">
        <v>2872</v>
      </c>
      <c r="H33" s="13" t="s">
        <v>18</v>
      </c>
      <c r="I33" s="15" t="n">
        <v>0.0554</v>
      </c>
      <c r="J33" s="16" t="n">
        <f aca="false">IFERROR(INDEX('Como ler'!$B$20:$B$24,MATCH(H33,'Como ler'!$A$20:$A$24,0)),"")</f>
        <v>0.04</v>
      </c>
      <c r="K33" s="17" t="n">
        <f aca="false">IF(OR(I33="",J33=""),"",I33/J33)</f>
        <v>1.385</v>
      </c>
      <c r="L33" s="14" t="n">
        <v>196</v>
      </c>
      <c r="M33" s="18" t="n">
        <v>10.7</v>
      </c>
      <c r="N33" s="14" t="n">
        <v>1310</v>
      </c>
      <c r="O33" s="17" t="n">
        <f aca="false">IF(OR(N33="",G33=0),"",N33/G33)</f>
        <v>0.456128133704735</v>
      </c>
      <c r="P33" s="19" t="n">
        <v>0.67</v>
      </c>
      <c r="Q33" s="20" t="n">
        <v>0.7</v>
      </c>
      <c r="R33" s="21" t="n">
        <v>46285</v>
      </c>
      <c r="S33" s="22" t="n">
        <f aca="false">IF(R33="","",'Como ler'!$B$27-R33)</f>
        <v>7</v>
      </c>
      <c r="T33" s="13" t="n">
        <v>0</v>
      </c>
      <c r="U33" s="13"/>
      <c r="V33" s="13" t="s">
        <v>53</v>
      </c>
      <c r="W33" s="13" t="s">
        <v>1168</v>
      </c>
      <c r="X33" s="26" t="s">
        <v>129</v>
      </c>
      <c r="Y33" s="13" t="n">
        <f aca="false">ROUND(IF(K33="",0,MIN(40,40*K33/1.5))+IF(S33="",0,IF(S33&lt;=7,20,IF(S33&lt;=30,12,IF(S33&lt;=90,5,0))))+IF(Q33="",0,MIN(15,Q33*5))+IF(O33="",0,MIN(15,O33*30))+IF(E33="Criador(a)",10,IF(E33="Especialista que cria conteúdo",6,4)),0)</f>
        <v>84</v>
      </c>
      <c r="Z33" s="13"/>
      <c r="AA33" s="13"/>
      <c r="AB33" s="13"/>
      <c r="AC33" s="13"/>
      <c r="AD33" s="13" t="s">
        <v>1144</v>
      </c>
      <c r="AE33" s="13" t="s">
        <v>1169</v>
      </c>
      <c r="AF33" s="13"/>
      <c r="AG33" s="24" t="s">
        <v>1170</v>
      </c>
      <c r="AH33" s="13" t="s">
        <v>100</v>
      </c>
      <c r="AI33" s="13"/>
    </row>
    <row r="34" customFormat="false" ht="15" hidden="false" customHeight="false" outlineLevel="0" collapsed="false">
      <c r="A34" s="13" t="s">
        <v>38</v>
      </c>
      <c r="B34" s="13"/>
      <c r="C34" s="13" t="s">
        <v>1171</v>
      </c>
      <c r="D34" s="13" t="s">
        <v>1172</v>
      </c>
      <c r="E34" s="13" t="s">
        <v>30</v>
      </c>
      <c r="F34" s="13" t="s">
        <v>29</v>
      </c>
      <c r="G34" s="14" t="n">
        <v>2861</v>
      </c>
      <c r="H34" s="13" t="s">
        <v>18</v>
      </c>
      <c r="I34" s="15" t="n">
        <v>0.008</v>
      </c>
      <c r="J34" s="16" t="n">
        <f aca="false">IFERROR(INDEX('Como ler'!$B$20:$B$24,MATCH(H34,'Como ler'!$A$20:$A$24,0)),"")</f>
        <v>0.04</v>
      </c>
      <c r="K34" s="17" t="n">
        <f aca="false">IF(OR(I34="",J34=""),"",I34/J34)</f>
        <v>0.2</v>
      </c>
      <c r="L34" s="14" t="n">
        <v>64</v>
      </c>
      <c r="M34" s="18" t="n">
        <v>5.6</v>
      </c>
      <c r="N34" s="14" t="n">
        <v>76</v>
      </c>
      <c r="O34" s="17" t="n">
        <f aca="false">IF(OR(N34="",G34=0),"",N34/G34)</f>
        <v>0.0265641384131423</v>
      </c>
      <c r="P34" s="19" t="n">
        <v>0.44</v>
      </c>
      <c r="Q34" s="20" t="n">
        <v>0.9</v>
      </c>
      <c r="R34" s="21" t="n">
        <v>46264</v>
      </c>
      <c r="S34" s="22" t="n">
        <f aca="false">IF(R34="","",'Como ler'!$B$27-R34)</f>
        <v>28</v>
      </c>
      <c r="T34" s="13" t="n">
        <v>0</v>
      </c>
      <c r="U34" s="13"/>
      <c r="V34" s="13" t="s">
        <v>48</v>
      </c>
      <c r="W34" s="13" t="s">
        <v>1173</v>
      </c>
      <c r="X34" s="26" t="s">
        <v>129</v>
      </c>
      <c r="Y34" s="13" t="n">
        <f aca="false">ROUND(IF(K34="",0,MIN(40,40*K34/1.5))+IF(S34="",0,IF(S34&lt;=7,20,IF(S34&lt;=30,12,IF(S34&lt;=90,5,0))))+IF(Q34="",0,MIN(15,Q34*5))+IF(O34="",0,MIN(15,O34*30))+IF(E34="Criador(a)",10,IF(E34="Especialista que cria conteúdo",6,4)),0)</f>
        <v>33</v>
      </c>
      <c r="Z34" s="13" t="s">
        <v>1174</v>
      </c>
      <c r="AA34" s="13"/>
      <c r="AB34" s="13" t="s">
        <v>113</v>
      </c>
      <c r="AC34" s="13"/>
      <c r="AD34" s="13" t="s">
        <v>1109</v>
      </c>
      <c r="AE34" s="13" t="s">
        <v>1175</v>
      </c>
      <c r="AF34" s="13" t="s">
        <v>1176</v>
      </c>
      <c r="AG34" s="24" t="s">
        <v>1177</v>
      </c>
      <c r="AH34" s="13" t="s">
        <v>100</v>
      </c>
      <c r="AI34" s="13"/>
    </row>
    <row r="35" customFormat="false" ht="15" hidden="false" customHeight="false" outlineLevel="0" collapsed="false">
      <c r="A35" s="13" t="s">
        <v>38</v>
      </c>
      <c r="B35" s="13" t="s">
        <v>37</v>
      </c>
      <c r="C35" s="13" t="s">
        <v>1178</v>
      </c>
      <c r="D35" s="13" t="s">
        <v>1179</v>
      </c>
      <c r="E35" s="13" t="s">
        <v>30</v>
      </c>
      <c r="F35" s="13" t="s">
        <v>29</v>
      </c>
      <c r="G35" s="14" t="n">
        <v>2646</v>
      </c>
      <c r="H35" s="13" t="s">
        <v>18</v>
      </c>
      <c r="I35" s="15" t="n">
        <v>0.0008</v>
      </c>
      <c r="J35" s="16" t="n">
        <f aca="false">IFERROR(INDEX('Como ler'!$B$20:$B$24,MATCH(H35,'Como ler'!$A$20:$A$24,0)),"")</f>
        <v>0.04</v>
      </c>
      <c r="K35" s="17" t="n">
        <f aca="false">IF(OR(I35="",J35=""),"",I35/J35)</f>
        <v>0.02</v>
      </c>
      <c r="L35" s="14" t="n">
        <v>3</v>
      </c>
      <c r="M35" s="18" t="n">
        <v>0</v>
      </c>
      <c r="N35" s="14"/>
      <c r="O35" s="17" t="str">
        <f aca="false">IF(OR(N35="",G35=0),"",N35/G35)</f>
        <v/>
      </c>
      <c r="P35" s="19" t="n">
        <v>0</v>
      </c>
      <c r="Q35" s="20" t="n">
        <v>5.1</v>
      </c>
      <c r="R35" s="21" t="n">
        <v>46292</v>
      </c>
      <c r="S35" s="22" t="n">
        <f aca="false">IF(R35="","",'Como ler'!$B$27-R35)</f>
        <v>0</v>
      </c>
      <c r="T35" s="13" t="n">
        <v>0</v>
      </c>
      <c r="U35" s="13"/>
      <c r="V35" s="13" t="s">
        <v>48</v>
      </c>
      <c r="W35" s="13" t="s">
        <v>48</v>
      </c>
      <c r="X35" s="25" t="s">
        <v>104</v>
      </c>
      <c r="Y35" s="13" t="n">
        <f aca="false">ROUND(IF(K35="",0,MIN(40,40*K35/1.5))+IF(S35="",0,IF(S35&lt;=7,20,IF(S35&lt;=30,12,IF(S35&lt;=90,5,0))))+IF(Q35="",0,MIN(15,Q35*5))+IF(O35="",0,MIN(15,O35*30))+IF(E35="Criador(a)",10,IF(E35="Especialista que cria conteúdo",6,4)),0)</f>
        <v>46</v>
      </c>
      <c r="Z35" s="13" t="s">
        <v>672</v>
      </c>
      <c r="AA35" s="13"/>
      <c r="AB35" s="13" t="s">
        <v>113</v>
      </c>
      <c r="AC35" s="13"/>
      <c r="AD35" s="13" t="s">
        <v>1180</v>
      </c>
      <c r="AE35" s="13" t="s">
        <v>1181</v>
      </c>
      <c r="AF35" s="13" t="s">
        <v>1182</v>
      </c>
      <c r="AG35" s="24" t="s">
        <v>1183</v>
      </c>
      <c r="AH35" s="13" t="s">
        <v>100</v>
      </c>
      <c r="AI35" s="13"/>
    </row>
    <row r="36" customFormat="false" ht="15" hidden="false" customHeight="false" outlineLevel="0" collapsed="false">
      <c r="A36" s="13" t="s">
        <v>38</v>
      </c>
      <c r="B36" s="13"/>
      <c r="C36" s="13" t="s">
        <v>1184</v>
      </c>
      <c r="D36" s="13" t="s">
        <v>1185</v>
      </c>
      <c r="E36" s="13" t="s">
        <v>30</v>
      </c>
      <c r="F36" s="13" t="s">
        <v>28</v>
      </c>
      <c r="G36" s="14" t="n">
        <v>2568</v>
      </c>
      <c r="H36" s="13" t="s">
        <v>18</v>
      </c>
      <c r="I36" s="15" t="n">
        <v>0.0035</v>
      </c>
      <c r="J36" s="16" t="n">
        <f aca="false">IFERROR(INDEX('Como ler'!$B$20:$B$24,MATCH(H36,'Como ler'!$A$20:$A$24,0)),"")</f>
        <v>0.04</v>
      </c>
      <c r="K36" s="17" t="n">
        <f aca="false">IF(OR(I36="",J36=""),"",I36/J36)</f>
        <v>0.0875</v>
      </c>
      <c r="L36" s="14" t="n">
        <v>11</v>
      </c>
      <c r="M36" s="18" t="n">
        <v>0.9</v>
      </c>
      <c r="N36" s="14" t="n">
        <v>86</v>
      </c>
      <c r="O36" s="17" t="n">
        <f aca="false">IF(OR(N36="",G36=0),"",N36/G36)</f>
        <v>0.0334890965732087</v>
      </c>
      <c r="P36" s="19" t="n">
        <v>0.25</v>
      </c>
      <c r="Q36" s="20" t="n">
        <v>2.1</v>
      </c>
      <c r="R36" s="21" t="n">
        <v>46286</v>
      </c>
      <c r="S36" s="22" t="n">
        <f aca="false">IF(R36="","",'Como ler'!$B$27-R36)</f>
        <v>6</v>
      </c>
      <c r="T36" s="13" t="n">
        <v>0</v>
      </c>
      <c r="U36" s="13"/>
      <c r="V36" s="13" t="s">
        <v>52</v>
      </c>
      <c r="W36" s="13" t="s">
        <v>988</v>
      </c>
      <c r="X36" s="23" t="s">
        <v>94</v>
      </c>
      <c r="Y36" s="13" t="n">
        <f aca="false">ROUND(IF(K36="",0,MIN(40,40*K36/1.5))+IF(S36="",0,IF(S36&lt;=7,20,IF(S36&lt;=30,12,IF(S36&lt;=90,5,0))))+IF(Q36="",0,MIN(15,Q36*5))+IF(O36="",0,MIN(15,O36*30))+IF(E36="Criador(a)",10,IF(E36="Especialista que cria conteúdo",6,4)),0)</f>
        <v>44</v>
      </c>
      <c r="Z36" s="13"/>
      <c r="AA36" s="13"/>
      <c r="AB36" s="13"/>
      <c r="AC36" s="13"/>
      <c r="AD36" s="13" t="s">
        <v>1186</v>
      </c>
      <c r="AE36" s="13" t="s">
        <v>1187</v>
      </c>
      <c r="AF36" s="13" t="s">
        <v>1188</v>
      </c>
      <c r="AG36" s="24" t="s">
        <v>1189</v>
      </c>
      <c r="AH36" s="13" t="s">
        <v>100</v>
      </c>
      <c r="AI36" s="13"/>
    </row>
    <row r="37" customFormat="false" ht="15" hidden="false" customHeight="false" outlineLevel="0" collapsed="false">
      <c r="A37" s="13" t="s">
        <v>38</v>
      </c>
      <c r="B37" s="13"/>
      <c r="C37" s="13" t="s">
        <v>1190</v>
      </c>
      <c r="D37" s="13" t="s">
        <v>1191</v>
      </c>
      <c r="E37" s="13" t="s">
        <v>157</v>
      </c>
      <c r="F37" s="13" t="s">
        <v>28</v>
      </c>
      <c r="G37" s="14" t="n">
        <v>2362</v>
      </c>
      <c r="H37" s="13" t="s">
        <v>18</v>
      </c>
      <c r="I37" s="15"/>
      <c r="J37" s="16" t="n">
        <f aca="false">IFERROR(INDEX('Como ler'!$B$20:$B$24,MATCH(H37,'Como ler'!$A$20:$A$24,0)),"")</f>
        <v>0.04</v>
      </c>
      <c r="K37" s="17" t="str">
        <f aca="false">IF(OR(I37="",J37=""),"",I37/J37)</f>
        <v/>
      </c>
      <c r="L37" s="14"/>
      <c r="M37" s="18"/>
      <c r="N37" s="14"/>
      <c r="O37" s="17" t="str">
        <f aca="false">IF(OR(N37="",G37=0),"",N37/G37)</f>
        <v/>
      </c>
      <c r="P37" s="19"/>
      <c r="Q37" s="20"/>
      <c r="R37" s="21"/>
      <c r="S37" s="22" t="str">
        <f aca="false">IF(R37="","",'Como ler'!$B$27-R37)</f>
        <v/>
      </c>
      <c r="T37" s="13" t="n">
        <v>0</v>
      </c>
      <c r="U37" s="13"/>
      <c r="V37" s="13" t="s">
        <v>56</v>
      </c>
      <c r="W37" s="13" t="s">
        <v>56</v>
      </c>
      <c r="X37" s="23" t="s">
        <v>94</v>
      </c>
      <c r="Y37" s="13" t="n">
        <f aca="false">ROUND(IF(K37="",0,MIN(40,40*K37/1.5))+IF(S37="",0,IF(S37&lt;=7,20,IF(S37&lt;=30,12,IF(S37&lt;=90,5,0))))+IF(Q37="",0,MIN(15,Q37*5))+IF(O37="",0,MIN(15,O37*30))+IF(E37="Criador(a)",10,IF(E37="Especialista que cria conteúdo",6,4)),0)</f>
        <v>6</v>
      </c>
      <c r="Z37" s="13"/>
      <c r="AA37" s="13"/>
      <c r="AB37" s="13"/>
      <c r="AC37" s="13"/>
      <c r="AD37" s="13" t="s">
        <v>1033</v>
      </c>
      <c r="AE37" s="13"/>
      <c r="AF37" s="13" t="s">
        <v>1192</v>
      </c>
      <c r="AG37" s="24" t="s">
        <v>1193</v>
      </c>
      <c r="AH37" s="13" t="s">
        <v>100</v>
      </c>
      <c r="AI37" s="13"/>
    </row>
    <row r="38" customFormat="false" ht="15" hidden="false" customHeight="false" outlineLevel="0" collapsed="false">
      <c r="A38" s="13" t="s">
        <v>38</v>
      </c>
      <c r="B38" s="13"/>
      <c r="C38" s="13" t="s">
        <v>1194</v>
      </c>
      <c r="D38" s="13" t="s">
        <v>1195</v>
      </c>
      <c r="E38" s="13" t="s">
        <v>157</v>
      </c>
      <c r="F38" s="13" t="s">
        <v>28</v>
      </c>
      <c r="G38" s="14" t="n">
        <v>2269</v>
      </c>
      <c r="H38" s="13" t="s">
        <v>18</v>
      </c>
      <c r="I38" s="15" t="n">
        <v>0.0291</v>
      </c>
      <c r="J38" s="16" t="n">
        <f aca="false">IFERROR(INDEX('Como ler'!$B$20:$B$24,MATCH(H38,'Como ler'!$A$20:$A$24,0)),"")</f>
        <v>0.04</v>
      </c>
      <c r="K38" s="17" t="n">
        <f aca="false">IF(OR(I38="",J38=""),"",I38/J38)</f>
        <v>0.7275</v>
      </c>
      <c r="L38" s="14" t="n">
        <v>80</v>
      </c>
      <c r="M38" s="18" t="n">
        <v>7.2</v>
      </c>
      <c r="N38" s="14"/>
      <c r="O38" s="17" t="str">
        <f aca="false">IF(OR(N38="",G38=0),"",N38/G38)</f>
        <v/>
      </c>
      <c r="P38" s="19" t="n">
        <v>0</v>
      </c>
      <c r="Q38" s="20" t="n">
        <v>0.5</v>
      </c>
      <c r="R38" s="21" t="n">
        <v>46278</v>
      </c>
      <c r="S38" s="22" t="n">
        <f aca="false">IF(R38="","",'Como ler'!$B$27-R38)</f>
        <v>14</v>
      </c>
      <c r="T38" s="13" t="n">
        <v>0</v>
      </c>
      <c r="U38" s="13"/>
      <c r="V38" s="13" t="s">
        <v>45</v>
      </c>
      <c r="W38" s="13" t="s">
        <v>726</v>
      </c>
      <c r="X38" s="26" t="s">
        <v>129</v>
      </c>
      <c r="Y38" s="13" t="n">
        <f aca="false">ROUND(IF(K38="",0,MIN(40,40*K38/1.5))+IF(S38="",0,IF(S38&lt;=7,20,IF(S38&lt;=30,12,IF(S38&lt;=90,5,0))))+IF(Q38="",0,MIN(15,Q38*5))+IF(O38="",0,MIN(15,O38*30))+IF(E38="Criador(a)",10,IF(E38="Especialista que cria conteúdo",6,4)),0)</f>
        <v>40</v>
      </c>
      <c r="Z38" s="13" t="s">
        <v>430</v>
      </c>
      <c r="AA38" s="13"/>
      <c r="AB38" s="13" t="s">
        <v>113</v>
      </c>
      <c r="AC38" s="13"/>
      <c r="AD38" s="13" t="s">
        <v>1144</v>
      </c>
      <c r="AE38" s="13" t="s">
        <v>1196</v>
      </c>
      <c r="AF38" s="13" t="s">
        <v>1197</v>
      </c>
      <c r="AG38" s="24" t="s">
        <v>1198</v>
      </c>
      <c r="AH38" s="13" t="s">
        <v>100</v>
      </c>
      <c r="AI38" s="13"/>
    </row>
    <row r="39" customFormat="false" ht="15" hidden="false" customHeight="false" outlineLevel="0" collapsed="false">
      <c r="A39" s="13" t="s">
        <v>38</v>
      </c>
      <c r="B39" s="13"/>
      <c r="C39" s="13" t="s">
        <v>1199</v>
      </c>
      <c r="D39" s="13" t="s">
        <v>1200</v>
      </c>
      <c r="E39" s="13" t="s">
        <v>30</v>
      </c>
      <c r="F39" s="13" t="s">
        <v>28</v>
      </c>
      <c r="G39" s="14" t="n">
        <v>2228</v>
      </c>
      <c r="H39" s="13" t="s">
        <v>18</v>
      </c>
      <c r="I39" s="15" t="n">
        <v>0.0287</v>
      </c>
      <c r="J39" s="16" t="n">
        <f aca="false">IFERROR(INDEX('Como ler'!$B$20:$B$24,MATCH(H39,'Como ler'!$A$20:$A$24,0)),"")</f>
        <v>0.04</v>
      </c>
      <c r="K39" s="17" t="n">
        <f aca="false">IF(OR(I39="",J39=""),"",I39/J39)</f>
        <v>0.7175</v>
      </c>
      <c r="L39" s="14" t="n">
        <v>61</v>
      </c>
      <c r="M39" s="18" t="n">
        <v>15.1</v>
      </c>
      <c r="N39" s="14" t="n">
        <v>614</v>
      </c>
      <c r="O39" s="17" t="n">
        <f aca="false">IF(OR(N39="",G39=0),"",N39/G39)</f>
        <v>0.275583482944345</v>
      </c>
      <c r="P39" s="19" t="n">
        <v>0.5</v>
      </c>
      <c r="Q39" s="20" t="n">
        <v>3</v>
      </c>
      <c r="R39" s="21" t="n">
        <v>46292</v>
      </c>
      <c r="S39" s="22" t="n">
        <f aca="false">IF(R39="","",'Como ler'!$B$27-R39)</f>
        <v>0</v>
      </c>
      <c r="T39" s="13" t="n">
        <v>0</v>
      </c>
      <c r="U39" s="13"/>
      <c r="V39" s="13" t="s">
        <v>45</v>
      </c>
      <c r="W39" s="13" t="s">
        <v>180</v>
      </c>
      <c r="X39" s="26" t="s">
        <v>129</v>
      </c>
      <c r="Y39" s="13" t="n">
        <f aca="false">ROUND(IF(K39="",0,MIN(40,40*K39/1.5))+IF(S39="",0,IF(S39&lt;=7,20,IF(S39&lt;=30,12,IF(S39&lt;=90,5,0))))+IF(Q39="",0,MIN(15,Q39*5))+IF(O39="",0,MIN(15,O39*30))+IF(E39="Criador(a)",10,IF(E39="Especialista que cria conteúdo",6,4)),0)</f>
        <v>72</v>
      </c>
      <c r="Z39" s="13"/>
      <c r="AA39" s="13"/>
      <c r="AB39" s="13"/>
      <c r="AC39" s="13"/>
      <c r="AD39" s="13" t="s">
        <v>1201</v>
      </c>
      <c r="AE39" s="13" t="s">
        <v>1202</v>
      </c>
      <c r="AF39" s="13" t="s">
        <v>1203</v>
      </c>
      <c r="AG39" s="24" t="s">
        <v>1204</v>
      </c>
      <c r="AH39" s="13" t="s">
        <v>100</v>
      </c>
      <c r="AI39" s="13"/>
    </row>
    <row r="40" customFormat="false" ht="15" hidden="false" customHeight="false" outlineLevel="0" collapsed="false">
      <c r="A40" s="13" t="s">
        <v>38</v>
      </c>
      <c r="B40" s="13" t="s">
        <v>1205</v>
      </c>
      <c r="C40" s="13" t="s">
        <v>1206</v>
      </c>
      <c r="D40" s="13" t="s">
        <v>1207</v>
      </c>
      <c r="E40" s="13" t="s">
        <v>200</v>
      </c>
      <c r="F40" s="13" t="s">
        <v>201</v>
      </c>
      <c r="G40" s="14" t="n">
        <v>2142</v>
      </c>
      <c r="H40" s="13" t="s">
        <v>18</v>
      </c>
      <c r="I40" s="15" t="n">
        <v>0.0028</v>
      </c>
      <c r="J40" s="16" t="n">
        <f aca="false">IFERROR(INDEX('Como ler'!$B$20:$B$24,MATCH(H40,'Como ler'!$A$20:$A$24,0)),"")</f>
        <v>0.04</v>
      </c>
      <c r="K40" s="17" t="n">
        <f aca="false">IF(OR(I40="",J40=""),"",I40/J40)</f>
        <v>0.07</v>
      </c>
      <c r="L40" s="14" t="n">
        <v>7</v>
      </c>
      <c r="M40" s="18" t="n">
        <v>0</v>
      </c>
      <c r="N40" s="14"/>
      <c r="O40" s="17" t="str">
        <f aca="false">IF(OR(N40="",G40=0),"",N40/G40)</f>
        <v/>
      </c>
      <c r="P40" s="19" t="n">
        <v>0</v>
      </c>
      <c r="Q40" s="20" t="n">
        <v>4.7</v>
      </c>
      <c r="R40" s="21" t="n">
        <v>46091</v>
      </c>
      <c r="S40" s="22" t="n">
        <f aca="false">IF(R40="","",'Como ler'!$B$27-R40)</f>
        <v>201</v>
      </c>
      <c r="T40" s="13" t="n">
        <v>0</v>
      </c>
      <c r="U40" s="13"/>
      <c r="V40" s="13" t="s">
        <v>46</v>
      </c>
      <c r="W40" s="13" t="s">
        <v>779</v>
      </c>
      <c r="X40" s="23" t="s">
        <v>94</v>
      </c>
      <c r="Y40" s="13" t="n">
        <f aca="false">ROUND(IF(K40="",0,MIN(40,40*K40/1.5))+IF(S40="",0,IF(S40&lt;=7,20,IF(S40&lt;=30,12,IF(S40&lt;=90,5,0))))+IF(Q40="",0,MIN(15,Q40*5))+IF(O40="",0,MIN(15,O40*30))+IF(E40="Criador(a)",10,IF(E40="Especialista que cria conteúdo",6,4)),0)</f>
        <v>21</v>
      </c>
      <c r="Z40" s="13" t="s">
        <v>105</v>
      </c>
      <c r="AA40" s="13"/>
      <c r="AB40" s="13"/>
      <c r="AC40" s="13" t="s">
        <v>114</v>
      </c>
      <c r="AD40" s="13" t="s">
        <v>1208</v>
      </c>
      <c r="AE40" s="13" t="s">
        <v>1209</v>
      </c>
      <c r="AF40" s="13" t="s">
        <v>1210</v>
      </c>
      <c r="AG40" s="24" t="s">
        <v>1211</v>
      </c>
      <c r="AH40" s="13" t="s">
        <v>100</v>
      </c>
      <c r="AI40" s="13"/>
    </row>
    <row r="41" customFormat="false" ht="15" hidden="false" customHeight="false" outlineLevel="0" collapsed="false">
      <c r="A41" s="13" t="s">
        <v>38</v>
      </c>
      <c r="B41" s="13"/>
      <c r="C41" s="13" t="s">
        <v>1212</v>
      </c>
      <c r="D41" s="13" t="s">
        <v>1213</v>
      </c>
      <c r="E41" s="13" t="s">
        <v>30</v>
      </c>
      <c r="F41" s="13" t="s">
        <v>28</v>
      </c>
      <c r="G41" s="14" t="n">
        <v>1544</v>
      </c>
      <c r="H41" s="13" t="s">
        <v>18</v>
      </c>
      <c r="I41" s="15" t="n">
        <v>0.0434</v>
      </c>
      <c r="J41" s="16" t="n">
        <f aca="false">IFERROR(INDEX('Como ler'!$B$20:$B$24,MATCH(H41,'Como ler'!$A$20:$A$24,0)),"")</f>
        <v>0.04</v>
      </c>
      <c r="K41" s="17" t="n">
        <f aca="false">IF(OR(I41="",J41=""),"",I41/J41)</f>
        <v>1.085</v>
      </c>
      <c r="L41" s="14" t="n">
        <v>61</v>
      </c>
      <c r="M41" s="18" t="n">
        <v>4.1</v>
      </c>
      <c r="N41" s="14" t="n">
        <v>983</v>
      </c>
      <c r="O41" s="17" t="n">
        <f aca="false">IF(OR(N41="",G41=0),"",N41/G41)</f>
        <v>0.636658031088083</v>
      </c>
      <c r="P41" s="19" t="n">
        <v>0.56</v>
      </c>
      <c r="Q41" s="20" t="n">
        <v>1.3</v>
      </c>
      <c r="R41" s="21" t="n">
        <v>46292</v>
      </c>
      <c r="S41" s="22" t="n">
        <f aca="false">IF(R41="","",'Como ler'!$B$27-R41)</f>
        <v>0</v>
      </c>
      <c r="T41" s="13" t="n">
        <v>0</v>
      </c>
      <c r="U41" s="13"/>
      <c r="V41" s="13" t="s">
        <v>53</v>
      </c>
      <c r="W41" s="13" t="s">
        <v>53</v>
      </c>
      <c r="X41" s="26" t="s">
        <v>129</v>
      </c>
      <c r="Y41" s="13" t="n">
        <f aca="false">ROUND(IF(K41="",0,MIN(40,40*K41/1.5))+IF(S41="",0,IF(S41&lt;=7,20,IF(S41&lt;=30,12,IF(S41&lt;=90,5,0))))+IF(Q41="",0,MIN(15,Q41*5))+IF(O41="",0,MIN(15,O41*30))+IF(E41="Criador(a)",10,IF(E41="Especialista que cria conteúdo",6,4)),0)</f>
        <v>80</v>
      </c>
      <c r="Z41" s="13" t="s">
        <v>105</v>
      </c>
      <c r="AA41" s="13"/>
      <c r="AB41" s="13" t="s">
        <v>113</v>
      </c>
      <c r="AC41" s="13"/>
      <c r="AD41" s="13" t="s">
        <v>1033</v>
      </c>
      <c r="AE41" s="13"/>
      <c r="AF41" s="13" t="s">
        <v>1214</v>
      </c>
      <c r="AG41" s="24" t="s">
        <v>1215</v>
      </c>
      <c r="AH41" s="13" t="s">
        <v>100</v>
      </c>
      <c r="AI41" s="13"/>
    </row>
    <row r="42" customFormat="false" ht="15" hidden="false" customHeight="false" outlineLevel="0" collapsed="false">
      <c r="A42" s="13" t="s">
        <v>38</v>
      </c>
      <c r="B42" s="13"/>
      <c r="C42" s="13" t="s">
        <v>1216</v>
      </c>
      <c r="D42" s="13" t="s">
        <v>1217</v>
      </c>
      <c r="E42" s="13" t="s">
        <v>30</v>
      </c>
      <c r="F42" s="13" t="s">
        <v>28</v>
      </c>
      <c r="G42" s="14" t="n">
        <v>1295</v>
      </c>
      <c r="H42" s="13" t="s">
        <v>18</v>
      </c>
      <c r="I42" s="15" t="n">
        <v>0.0205</v>
      </c>
      <c r="J42" s="16" t="n">
        <f aca="false">IFERROR(INDEX('Como ler'!$B$20:$B$24,MATCH(H42,'Como ler'!$A$20:$A$24,0)),"")</f>
        <v>0.04</v>
      </c>
      <c r="K42" s="17" t="n">
        <f aca="false">IF(OR(I42="",J42=""),"",I42/J42)</f>
        <v>0.5125</v>
      </c>
      <c r="L42" s="14" t="n">
        <v>27</v>
      </c>
      <c r="M42" s="18" t="n">
        <v>4.8</v>
      </c>
      <c r="N42" s="14" t="n">
        <v>400</v>
      </c>
      <c r="O42" s="17" t="n">
        <f aca="false">IF(OR(N42="",G42=0),"",N42/G42)</f>
        <v>0.308880308880309</v>
      </c>
      <c r="P42" s="19" t="n">
        <v>0.5</v>
      </c>
      <c r="Q42" s="20" t="n">
        <v>1.9</v>
      </c>
      <c r="R42" s="21" t="n">
        <v>46292</v>
      </c>
      <c r="S42" s="22" t="n">
        <f aca="false">IF(R42="","",'Como ler'!$B$27-R42)</f>
        <v>0</v>
      </c>
      <c r="T42" s="13" t="n">
        <v>0</v>
      </c>
      <c r="U42" s="13"/>
      <c r="V42" s="13" t="s">
        <v>45</v>
      </c>
      <c r="W42" s="13" t="s">
        <v>45</v>
      </c>
      <c r="X42" s="25" t="s">
        <v>104</v>
      </c>
      <c r="Y42" s="13" t="n">
        <f aca="false">ROUND(IF(K42="",0,MIN(40,40*K42/1.5))+IF(S42="",0,IF(S42&lt;=7,20,IF(S42&lt;=30,12,IF(S42&lt;=90,5,0))))+IF(Q42="",0,MIN(15,Q42*5))+IF(O42="",0,MIN(15,O42*30))+IF(E42="Criador(a)",10,IF(E42="Especialista que cria conteúdo",6,4)),0)</f>
        <v>62</v>
      </c>
      <c r="Z42" s="13"/>
      <c r="AA42" s="13"/>
      <c r="AB42" s="13"/>
      <c r="AC42" s="13"/>
      <c r="AD42" s="13" t="s">
        <v>1218</v>
      </c>
      <c r="AE42" s="13" t="s">
        <v>1219</v>
      </c>
      <c r="AF42" s="13" t="s">
        <v>1220</v>
      </c>
      <c r="AG42" s="24" t="s">
        <v>1221</v>
      </c>
      <c r="AH42" s="13" t="s">
        <v>100</v>
      </c>
      <c r="AI42" s="13"/>
    </row>
    <row r="43" customFormat="false" ht="15" hidden="false" customHeight="false" outlineLevel="0" collapsed="false">
      <c r="A43" s="13" t="s">
        <v>38</v>
      </c>
      <c r="B43" s="13" t="s">
        <v>36</v>
      </c>
      <c r="C43" s="13" t="s">
        <v>1222</v>
      </c>
      <c r="D43" s="13" t="s">
        <v>1223</v>
      </c>
      <c r="E43" s="13" t="s">
        <v>30</v>
      </c>
      <c r="F43" s="13" t="s">
        <v>28</v>
      </c>
      <c r="G43" s="14" t="n">
        <v>1233</v>
      </c>
      <c r="H43" s="13" t="s">
        <v>18</v>
      </c>
      <c r="I43" s="15" t="n">
        <v>0.017</v>
      </c>
      <c r="J43" s="16" t="n">
        <f aca="false">IFERROR(INDEX('Como ler'!$B$20:$B$24,MATCH(H43,'Como ler'!$A$20:$A$24,0)),"")</f>
        <v>0.04</v>
      </c>
      <c r="K43" s="17" t="n">
        <f aca="false">IF(OR(I43="",J43=""),"",I43/J43)</f>
        <v>0.425</v>
      </c>
      <c r="L43" s="14" t="n">
        <v>270</v>
      </c>
      <c r="M43" s="18" t="n">
        <v>8.6</v>
      </c>
      <c r="N43" s="14" t="n">
        <v>2452</v>
      </c>
      <c r="O43" s="17" t="n">
        <f aca="false">IF(OR(N43="",G43=0),"",N43/G43)</f>
        <v>1.98864557988646</v>
      </c>
      <c r="P43" s="19" t="n">
        <v>0.36</v>
      </c>
      <c r="Q43" s="20" t="n">
        <v>1.5</v>
      </c>
      <c r="R43" s="21" t="n">
        <v>46291</v>
      </c>
      <c r="S43" s="22" t="n">
        <f aca="false">IF(R43="","",'Como ler'!$B$27-R43)</f>
        <v>1</v>
      </c>
      <c r="T43" s="13" t="n">
        <v>1</v>
      </c>
      <c r="U43" s="13"/>
      <c r="V43" s="13" t="s">
        <v>45</v>
      </c>
      <c r="W43" s="13" t="s">
        <v>45</v>
      </c>
      <c r="X43" s="25" t="s">
        <v>104</v>
      </c>
      <c r="Y43" s="13" t="n">
        <f aca="false">ROUND(IF(K43="",0,MIN(40,40*K43/1.5))+IF(S43="",0,IF(S43&lt;=7,20,IF(S43&lt;=30,12,IF(S43&lt;=90,5,0))))+IF(Q43="",0,MIN(15,Q43*5))+IF(O43="",0,MIN(15,O43*30))+IF(E43="Criador(a)",10,IF(E43="Especialista que cria conteúdo",6,4)),0)</f>
        <v>64</v>
      </c>
      <c r="Z43" s="13"/>
      <c r="AA43" s="13"/>
      <c r="AB43" s="13"/>
      <c r="AC43" s="13"/>
      <c r="AD43" s="13" t="s">
        <v>1224</v>
      </c>
      <c r="AE43" s="13" t="s">
        <v>1225</v>
      </c>
      <c r="AF43" s="13" t="s">
        <v>1226</v>
      </c>
      <c r="AG43" s="24" t="s">
        <v>1227</v>
      </c>
      <c r="AH43" s="13" t="s">
        <v>100</v>
      </c>
      <c r="AI43" s="13"/>
    </row>
  </sheetData>
  <autoFilter ref="A1:AI43"/>
  <dataValidations count="1">
    <dataValidation allowBlank="true" errorStyle="stop" operator="between" showDropDown="false" showErrorMessage="false" showInputMessage="false" sqref="AH2:AH43" type="list">
      <formula1>"Não contatada,DM enviada,Respondeu,Negociando,Fechada,Recusou,Descartada"</formula1>
      <formula2>0</formula2>
    </dataValidation>
  </dataValidations>
  <hyperlinks>
    <hyperlink ref="AG2" r:id="rId1" display="https://instagram.com/mordomorodrigo_oficial"/>
    <hyperlink ref="AG3" r:id="rId2" display="https://instagram.com/andreza.marinho_22"/>
    <hyperlink ref="AG4" r:id="rId3" display="https://instagram.com/brunoleon.blm"/>
    <hyperlink ref="AG5" r:id="rId4" display="https://instagram.com/letsbalneario"/>
    <hyperlink ref="AG6" r:id="rId5" display="https://instagram.com/kcrespi"/>
    <hyperlink ref="AG7" r:id="rId6" display="https://instagram.com/bcemfotos"/>
    <hyperlink ref="AG8" r:id="rId7" display="https://instagram.com/abnerbernardes__"/>
    <hyperlink ref="AG9" r:id="rId8" display="https://instagram.com/paulagarciapersonal"/>
    <hyperlink ref="AG10" r:id="rId9" display="https://instagram.com/tudodeitapema"/>
    <hyperlink ref="AG11" r:id="rId10" display="https://instagram.com/suellyns"/>
    <hyperlink ref="AG12" r:id="rId11" display="https://instagram.com/guimelo8"/>
    <hyperlink ref="AG13" r:id="rId12" display="https://instagram.com/carolschultzofc"/>
    <hyperlink ref="AG14" r:id="rId13" display="https://instagram.com/itapemaphotos"/>
    <hyperlink ref="AG15" r:id="rId14" display="https://instagram.com/olhardeitapema"/>
    <hyperlink ref="AG16" r:id="rId15" display="https://instagram.com/_viva_itapema"/>
    <hyperlink ref="AG17" r:id="rId16" display="https://instagram.com/negojoe"/>
    <hyperlink ref="AG18" r:id="rId17" display="https://instagram.com/falaitapema"/>
    <hyperlink ref="AG19" r:id="rId18" display="https://instagram.com/jessicaaolivei"/>
    <hyperlink ref="AG20" r:id="rId19" display="https://instagram.com/kamillesilveiraa_"/>
    <hyperlink ref="AG21" r:id="rId20" display="https://instagram.com/eduardoinvest.bc"/>
    <hyperlink ref="AG22" r:id="rId21" display="https://instagram.com/brunomarques_sc"/>
    <hyperlink ref="AG23" r:id="rId22" display="https://instagram.com/itapemabeach_"/>
    <hyperlink ref="AG24" r:id="rId23" display="https://instagram.com/silmarodesenhos"/>
    <hyperlink ref="AG25" r:id="rId24" display="https://instagram.com/carloshenrique.ads_"/>
    <hyperlink ref="AG26" r:id="rId25" display="https://instagram.com/vivi_balneariocamboriu"/>
    <hyperlink ref="AG27" r:id="rId26" display="https://instagram.com/karolina_mary"/>
    <hyperlink ref="AG28" r:id="rId27" display="https://instagram.com/joseelacerdaa"/>
    <hyperlink ref="AG29" r:id="rId28" display="https://instagram.com/nery_karolpersonal"/>
    <hyperlink ref="AG30" r:id="rId29" display="https://instagram.com/click.itapema"/>
    <hyperlink ref="AG31" r:id="rId30" display="https://instagram.com/terapeuta.dianabrandao"/>
    <hyperlink ref="AG32" r:id="rId31" display="https://instagram.com/heber.oliveira.pesca_de_praia"/>
    <hyperlink ref="AG33" r:id="rId32" display="https://instagram.com/camila_paloschi"/>
    <hyperlink ref="AG34" r:id="rId33" display="https://instagram.com/kaleujr"/>
    <hyperlink ref="AG35" r:id="rId34" display="https://instagram.com/rafajenei"/>
    <hyperlink ref="AG36" r:id="rId35" display="https://instagram.com/palomakehll"/>
    <hyperlink ref="AG37" r:id="rId36" display="https://instagram.com/flaviabruguer"/>
    <hyperlink ref="AG38" r:id="rId37" display="https://instagram.com/thaismurarotrainer"/>
    <hyperlink ref="AG39" r:id="rId38" display="https://instagram.com/machado.gi_"/>
    <hyperlink ref="AG40" r:id="rId39" display="https://instagram.com/boas_dicas_bc"/>
    <hyperlink ref="AG41" r:id="rId40" display="https://instagram.com/analeite0615"/>
    <hyperlink ref="AG42" r:id="rId41" display="https://instagram.com/tanise_vieira_"/>
    <hyperlink ref="AG43" r:id="rId42" display="https://instagram.com/andreiamouras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2026-09-27T21:04:22Z</dcterms:created>
  <dc:creator>openpyxl</dc:creator>
  <dc:description/>
  <dc:language>en-US</dc:language>
  <cp:lastModifiedBy/>
  <dcterms:modified xsi:type="dcterms:W3CDTF">2026-09-27T21:04:23Z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